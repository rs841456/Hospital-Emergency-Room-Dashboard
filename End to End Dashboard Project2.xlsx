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rs859\Downloads\"/>
    </mc:Choice>
  </mc:AlternateContent>
  <xr:revisionPtr revIDLastSave="0" documentId="13_ncr:1_{33BC1814-388C-4FC8-B0CC-60A2FD8CDAEC}" xr6:coauthVersionLast="47" xr6:coauthVersionMax="47" xr10:uidLastSave="{00000000-0000-0000-0000-000000000000}"/>
  <bookViews>
    <workbookView xWindow="-108" yWindow="-108" windowWidth="23256" windowHeight="13176" xr2:uid="{D400E8EF-9123-4E06-B8CD-429A35F3F724}"/>
  </bookViews>
  <sheets>
    <sheet name="Pivot Report" sheetId="1" r:id="rId1"/>
    <sheet name="Dashboard" sheetId="2" r:id="rId2"/>
    <sheet name="Satisfaction Score Daily Trends" sheetId="7" r:id="rId3"/>
    <sheet name="Average Wait Time Daily Trends" sheetId="6" r:id="rId4"/>
    <sheet name="Daily ER No of patient" sheetId="4" r:id="rId5"/>
  </sheets>
  <definedNames>
    <definedName name="Slicer_Date__Month">#N/A</definedName>
    <definedName name="Slicer_Date__Year">#N/A</definedName>
  </definedNames>
  <calcPr calcId="191029"/>
  <pivotCaches>
    <pivotCache cacheId="910" r:id="rId6"/>
    <pivotCache cacheId="913" r:id="rId7"/>
    <pivotCache cacheId="916" r:id="rId8"/>
    <pivotCache cacheId="919" r:id="rId9"/>
    <pivotCache cacheId="922" r:id="rId10"/>
    <pivotCache cacheId="925" r:id="rId11"/>
    <pivotCache cacheId="928" r:id="rId12"/>
    <pivotCache cacheId="931" r:id="rId13"/>
    <pivotCache cacheId="934" r:id="rId14"/>
    <pivotCache cacheId="937" r:id="rId15"/>
    <pivotCache cacheId="940" r:id="rId16"/>
    <pivotCache cacheId="943" r:id="rId17"/>
  </pivotCaches>
  <extLst>
    <ext xmlns:x14="http://schemas.microsoft.com/office/spreadsheetml/2009/9/main" uri="{876F7934-8845-4945-9796-88D515C7AA90}">
      <x14:pivotCaches>
        <pivotCache cacheId="426"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3088b13-3832-4b2b-9596-525ef3cf83d8" name="Hospital Emergency Room Data" connection="Query - Hospital Emergency Room Data"/>
          <x15:modelTable id="Calendar_Table_e105df45-80a2-4e6a-b381-3196490ee743"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7" i="1" l="1"/>
  <c r="C47" i="1"/>
  <c r="A47" i="1"/>
  <c r="B46" i="1"/>
  <c r="C46" i="1"/>
  <c r="A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C11C56-2E1D-4DDA-AF88-865AE8B5D696}" name="Query - Calendar_Table" description="Connection to the 'Calendar_Table' query in the workbook." type="100" refreshedVersion="7" minRefreshableVersion="5">
    <extLst>
      <ext xmlns:x15="http://schemas.microsoft.com/office/spreadsheetml/2010/11/main" uri="{DE250136-89BD-433C-8126-D09CA5730AF9}">
        <x15:connection id="9801f786-9462-47d4-bd5e-445ee116dc42"/>
      </ext>
    </extLst>
  </connection>
  <connection id="2" xr16:uid="{F0AD6230-9490-4D12-BCD6-23A6A7333C6D}"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e93ccc69-12a2-4357-9e57-a0c4575e5263"/>
      </ext>
    </extLst>
  </connection>
  <connection id="3" xr16:uid="{C002F01B-AB83-42A7-AA04-E0FD094A3ED6}"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<sst xmlns="http://schemas.openxmlformats.org/spreadsheetml/2006/main" count="158" uniqueCount="76">
  <si>
    <t>Distinct Count of Patient Id</t>
  </si>
  <si>
    <t>No. of Patient</t>
  </si>
  <si>
    <t>Average of Patient Waittime</t>
  </si>
  <si>
    <t>Average of Patient Satisfaction Score</t>
  </si>
  <si>
    <t>Admitted</t>
  </si>
  <si>
    <t>Not Admitted</t>
  </si>
  <si>
    <t>Grand Total</t>
  </si>
  <si>
    <t>Row Labels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</si>
  <si>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</si>
  <si>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</si>
  <si>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</si>
  <si>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</si>
  <si>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</si>
  <si>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</si>
  <si>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</si>
  <si>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</si>
  <si>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</si>
  <si>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</si>
  <si>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</si>
  <si>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</si>
  <si>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</si>
  <si>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</si>
  <si>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</si>
  <si>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</si>
  <si>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</si>
  <si>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</si>
  <si>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</si>
  <si>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</si>
  <si>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</si>
  <si>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</si>
  <si>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</si>
  <si>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</si>
  <si>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</si>
  <si>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</si>
  <si>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</si>
  <si>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</si>
  <si>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</si>
  <si>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</si>
  <si>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</si>
  <si>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1.Showing a daily trend with an area sparkline to spot patternts like buys days or seasonal trends.</t>
  </si>
  <si>
    <t>daily trends of no of patient</t>
  </si>
  <si>
    <t>average wait time</t>
  </si>
  <si>
    <t>2. Use an area chart to track daily changes and highlight days with longer wait times that might need improvements.</t>
  </si>
  <si>
    <t>Satisfaction score daily trends</t>
  </si>
  <si>
    <t>3. Use an area Chart to show trends, spot drops in satisfaction, and like them to busy times or challengs.</t>
  </si>
  <si>
    <t>Count of Patient Admission Flag</t>
  </si>
  <si>
    <t>Count of Patient Admission Flag2</t>
  </si>
  <si>
    <t>Admission Status</t>
  </si>
  <si>
    <t>% Status</t>
  </si>
  <si>
    <t>Delay</t>
  </si>
  <si>
    <t>Ontime</t>
  </si>
  <si>
    <t>Count of Patient Attend Status</t>
  </si>
  <si>
    <t>Male</t>
  </si>
  <si>
    <t>None</t>
  </si>
  <si>
    <t>0-09</t>
  </si>
  <si>
    <t>40-49</t>
  </si>
  <si>
    <t>10-19</t>
  </si>
  <si>
    <t>20-29</t>
  </si>
  <si>
    <t>60-69</t>
  </si>
  <si>
    <t>30-39</t>
  </si>
  <si>
    <t>50-59</t>
  </si>
  <si>
    <t>70-79</t>
  </si>
  <si>
    <t>Female</t>
  </si>
  <si>
    <t>General Practice</t>
  </si>
  <si>
    <t>Orthopedics</t>
  </si>
  <si>
    <t>Physiotherapy</t>
  </si>
  <si>
    <t>Cardiology</t>
  </si>
  <si>
    <t>Neurology</t>
  </si>
  <si>
    <t>Gastroenterology</t>
  </si>
  <si>
    <t>Renal</t>
  </si>
  <si>
    <t>Count of Patient Gender</t>
  </si>
  <si>
    <t>attebded status</t>
  </si>
  <si>
    <t xml:space="preserve">Gender Wise </t>
  </si>
  <si>
    <t>Count of Department Referral</t>
  </si>
  <si>
    <t>Count of Age Group</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</si>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</sst>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sz val="12"/>
      <color theme="1"/>
      <name val="Calibri"/>
      <family val="2"/>
      <scheme val="minor"/>
    </font>
    <font>
      <sz val="6"/>
      <color rgb="FF000000"/>
      <name val="Calibri"/>
      <family val="2"/>
      <scheme val="minor"/>
    </font>
  </fonts>
  <fills count="6">
    <fill>
      <patternFill patternType="none"/>
    </fill>
    <fill>
      <patternFill patternType="gray125"/>
    </fill>
    <fill>
      <patternFill patternType="solid">
        <fgColor theme="1" tint="0.499984740745262"/>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2" fillId="2" borderId="0" xfId="0" applyFont="1" applyFill="1"/>
    <xf numFmtId="0" fontId="0" fillId="2" borderId="0" xfId="0" applyFill="1" applyAlignment="1">
      <alignment horizontal="center"/>
    </xf>
    <xf numFmtId="0" fontId="0" fillId="0" borderId="0" xfId="0" applyAlignment="1">
      <alignment horizontal="center"/>
    </xf>
    <xf numFmtId="0" fontId="0" fillId="0" borderId="0" xfId="0" applyAlignment="1">
      <alignment horizontal="left"/>
    </xf>
    <xf numFmtId="0" fontId="0" fillId="3" borderId="0" xfId="0" applyFill="1"/>
    <xf numFmtId="0" fontId="0" fillId="3" borderId="0" xfId="0" applyFill="1" applyAlignment="1"/>
    <xf numFmtId="1" fontId="0" fillId="0" borderId="0" xfId="0" applyNumberFormat="1"/>
    <xf numFmtId="10" fontId="0" fillId="0" borderId="0" xfId="0" applyNumberFormat="1"/>
    <xf numFmtId="0" fontId="0" fillId="4" borderId="0" xfId="0" applyFill="1"/>
    <xf numFmtId="0" fontId="0" fillId="5" borderId="0" xfId="0" applyFill="1"/>
    <xf numFmtId="9" fontId="0" fillId="5" borderId="0" xfId="1" applyFont="1" applyFill="1"/>
    <xf numFmtId="0" fontId="3" fillId="0" borderId="0" xfId="0" applyFont="1" applyAlignment="1">
      <alignment horizontal="center" vertical="center"/>
    </xf>
  </cellXfs>
  <cellStyles count="2">
    <cellStyle name="Normal" xfId="0" builtinId="0"/>
    <cellStyle name="Percent" xfId="1" builtinId="5"/>
  </cellStyles>
  <dxfs count="250">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1" formatCode="0"/>
    </dxf>
    <dxf>
      <numFmt numFmtId="1" formatCode="0"/>
    </dxf>
    <dxf>
      <numFmt numFmtId="2" formatCode="0.00"/>
    </dxf>
    <dxf>
      <numFmt numFmtId="2" formatCode="0.00"/>
    </dxf>
    <dxf>
      <font>
        <b/>
        <color theme="1"/>
      </font>
      <border>
        <bottom style="thin">
          <color theme="5"/>
        </bottom>
        <vertical/>
        <horizontal/>
      </border>
    </dxf>
    <dxf>
      <font>
        <sz val="8"/>
        <color theme="1"/>
      </font>
      <fill>
        <patternFill patternType="none">
          <bgColor auto="1"/>
        </patternFill>
      </fill>
      <border diagonalUp="0" diagonalDown="0">
        <left/>
        <right/>
        <top/>
        <bottom/>
        <vertical/>
        <horizontal/>
      </border>
    </dxf>
  </dxfs>
  <tableStyles count="1" defaultTableStyle="TableStyleMedium2" defaultPivotStyle="PivotStyleLight16">
    <tableStyle name="My Style" pivot="0" table="0" count="10" xr9:uid="{1F918E55-19EA-4C04-B143-7A04FC2EA4D8}">
      <tableStyleElement type="wholeTable" dxfId="249"/>
      <tableStyleElement type="headerRow" dxfId="24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Report!PivotTable7</c:name>
    <c:fmtId val="0"/>
  </c:pivotSource>
  <c:chart>
    <c:autoTitleDeleted val="1"/>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pattFill prst="narVert">
            <a:fgClr>
              <a:schemeClr val="accent2"/>
            </a:fgClr>
            <a:bgClr>
              <a:schemeClr val="accent2">
                <a:lumMod val="20000"/>
                <a:lumOff val="80000"/>
              </a:schemeClr>
            </a:bgClr>
          </a:pattFill>
          <a:ln>
            <a:noFill/>
          </a:ln>
          <a:effectLst>
            <a:innerShdw blurRad="114300">
              <a:schemeClr val="accent2"/>
            </a:innerShdw>
          </a:effectLst>
        </c:spPr>
        <c:marker>
          <c:symbol val="none"/>
        </c:marker>
        <c:dLbl>
          <c:idx val="0"/>
          <c:delete val="1"/>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dLbl>
          <c:idx val="0"/>
          <c:layout>
            <c:manualLayout>
              <c:x val="5.0161246684716818E-2"/>
              <c:y val="0.25688091951233077"/>
            </c:manualLayout>
          </c:layout>
          <c:spPr>
            <a:noFill/>
            <a:ln>
              <a:noFill/>
            </a:ln>
            <a:effectLst/>
          </c:spPr>
          <c:txPr>
            <a:bodyPr rot="0" spcFirstLastPara="1" vertOverflow="ellipsis" vert="horz" wrap="square" lIns="0" tIns="0" rIns="72000" bIns="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3"/>
        <c:spPr>
          <a:pattFill prst="narVert">
            <a:fgClr>
              <a:schemeClr val="accent1"/>
            </a:fgClr>
            <a:bgClr>
              <a:schemeClr val="accent1">
                <a:lumMod val="20000"/>
                <a:lumOff val="80000"/>
              </a:schemeClr>
            </a:bgClr>
          </a:pattFill>
          <a:ln>
            <a:noFill/>
          </a:ln>
          <a:effectLst>
            <a:innerShdw blurRad="114300">
              <a:schemeClr val="accent1"/>
            </a:innerShdw>
          </a:effectLst>
        </c:spPr>
        <c:dLbl>
          <c:idx val="0"/>
          <c:layout>
            <c:manualLayout>
              <c:x val="-4.1801038903930679E-2"/>
              <c:y val="-0.27828766280502509"/>
            </c:manualLayout>
          </c:layout>
          <c:spPr>
            <a:noFill/>
            <a:ln>
              <a:noFill/>
            </a:ln>
            <a:effectLst/>
          </c:spPr>
          <c:txPr>
            <a:bodyPr rot="0" spcFirstLastPara="1" vertOverflow="ellipsis" vert="horz" wrap="square" lIns="0" tIns="0" rIns="72000" bIns="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4"/>
      </c:pivotFmt>
      <c:pivotFmt>
        <c:idx val="5"/>
      </c:pivotFmt>
    </c:pivotFmts>
    <c:plotArea>
      <c:layout>
        <c:manualLayout>
          <c:layoutTarget val="inner"/>
          <c:xMode val="edge"/>
          <c:yMode val="edge"/>
          <c:x val="9.1962285588647497E-2"/>
          <c:y val="0.23547417621963657"/>
          <c:w val="0.58198961096069324"/>
          <c:h val="0.52905164756072687"/>
        </c:manualLayout>
      </c:layout>
      <c:barChart>
        <c:barDir val="bar"/>
        <c:grouping val="clustered"/>
        <c:varyColors val="0"/>
        <c:ser>
          <c:idx val="0"/>
          <c:order val="0"/>
          <c:tx>
            <c:strRef>
              <c:f>'Pivot Report'!$C$46:$C$47</c:f>
              <c:strCache>
                <c:ptCount val="1"/>
                <c:pt idx="0">
                  <c:v>Count of Patient Admission Flag</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Pt>
            <c:idx val="0"/>
            <c:invertIfNegative val="0"/>
            <c:bubble3D val="0"/>
          </c:dPt>
          <c:dPt>
            <c:idx val="1"/>
            <c:invertIfNegative val="0"/>
            <c:bubble3D val="0"/>
          </c:dPt>
          <c:dLbls>
            <c:dLbl>
              <c:idx val="0"/>
              <c:layout>
                <c:manualLayout>
                  <c:x val="-4.1801038903930679E-2"/>
                  <c:y val="-0.27828766280502509"/>
                </c:manualLayout>
              </c:layout>
              <c:spPr>
                <a:noFill/>
                <a:ln>
                  <a:noFill/>
                </a:ln>
                <a:effectLst/>
              </c:spPr>
              <c:txPr>
                <a:bodyPr rot="0" spcFirstLastPara="1" vertOverflow="ellipsis" vert="horz" wrap="square" lIns="0" tIns="0" rIns="72000" bIns="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dLbl>
              <c:idx val="1"/>
              <c:layout>
                <c:manualLayout>
                  <c:x val="5.0161246684716818E-2"/>
                  <c:y val="0.25688091951233077"/>
                </c:manualLayout>
              </c:layout>
              <c:spPr>
                <a:noFill/>
                <a:ln>
                  <a:noFill/>
                </a:ln>
                <a:effectLst/>
              </c:spPr>
              <c:txPr>
                <a:bodyPr rot="0" spcFirstLastPara="1" vertOverflow="ellipsis" vert="horz" wrap="square" lIns="0" tIns="0" rIns="72000" bIns="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f>'Pivot Report'!$C$46:$C$47</c:f>
              <c:strCache>
                <c:ptCount val="2"/>
                <c:pt idx="0">
                  <c:v>Admitted</c:v>
                </c:pt>
                <c:pt idx="1">
                  <c:v>Not Admitted</c:v>
                </c:pt>
              </c:strCache>
            </c:strRef>
          </c:cat>
          <c:val>
            <c:numRef>
              <c:f>'Pivot Report'!$C$46:$C$47</c:f>
              <c:numCache>
                <c:formatCode>0</c:formatCode>
                <c:ptCount val="2"/>
                <c:pt idx="0">
                  <c:v>269</c:v>
                </c:pt>
                <c:pt idx="1">
                  <c:v>244</c:v>
                </c:pt>
              </c:numCache>
            </c:numRef>
          </c:val>
          <c:extLst>
            <c:ext xmlns:c16="http://schemas.microsoft.com/office/drawing/2014/chart" uri="{C3380CC4-5D6E-409C-BE32-E72D297353CC}">
              <c16:uniqueId val="{00000004-E1A6-491C-8FD6-89EF11AB7FF8}"/>
            </c:ext>
          </c:extLst>
        </c:ser>
        <c:ser>
          <c:idx val="1"/>
          <c:order val="1"/>
          <c:tx>
            <c:strRef>
              <c:f>'Pivot Report'!$C$46:$C$47</c:f>
              <c:strCache>
                <c:ptCount val="1"/>
                <c:pt idx="0">
                  <c:v>Count of Patient Admission Flag2</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dLbls>
            <c:delete val="1"/>
          </c:dLbls>
          <c:cat>
            <c:strRef>
              <c:f>'Pivot Report'!$C$46:$C$47</c:f>
              <c:strCache>
                <c:ptCount val="2"/>
                <c:pt idx="0">
                  <c:v>Admitted</c:v>
                </c:pt>
                <c:pt idx="1">
                  <c:v>Not Admitted</c:v>
                </c:pt>
              </c:strCache>
            </c:strRef>
          </c:cat>
          <c:val>
            <c:numRef>
              <c:f>'Pivot Report'!$C$46:$C$47</c:f>
              <c:numCache>
                <c:formatCode>0.00%</c:formatCode>
                <c:ptCount val="2"/>
                <c:pt idx="0">
                  <c:v>0.52436647173489281</c:v>
                </c:pt>
                <c:pt idx="1">
                  <c:v>0.47563352826510719</c:v>
                </c:pt>
              </c:numCache>
            </c:numRef>
          </c:val>
          <c:extLst>
            <c:ext xmlns:c16="http://schemas.microsoft.com/office/drawing/2014/chart" uri="{C3380CC4-5D6E-409C-BE32-E72D297353CC}">
              <c16:uniqueId val="{00000005-E1A6-491C-8FD6-89EF11AB7FF8}"/>
            </c:ext>
          </c:extLst>
        </c:ser>
        <c:dLbls>
          <c:dLblPos val="outEnd"/>
          <c:showLegendKey val="0"/>
          <c:showVal val="1"/>
          <c:showCatName val="0"/>
          <c:showSerName val="0"/>
          <c:showPercent val="0"/>
          <c:showBubbleSize val="0"/>
        </c:dLbls>
        <c:gapWidth val="227"/>
        <c:overlap val="-48"/>
        <c:axId val="488941455"/>
        <c:axId val="488941871"/>
      </c:barChart>
      <c:catAx>
        <c:axId val="488941455"/>
        <c:scaling>
          <c:orientation val="minMax"/>
        </c:scaling>
        <c:delete val="1"/>
        <c:axPos val="l"/>
        <c:numFmt formatCode="General" sourceLinked="1"/>
        <c:majorTickMark val="none"/>
        <c:minorTickMark val="none"/>
        <c:tickLblPos val="nextTo"/>
        <c:crossAx val="488941871"/>
        <c:crosses val="autoZero"/>
        <c:auto val="1"/>
        <c:lblAlgn val="ctr"/>
        <c:lblOffset val="100"/>
        <c:noMultiLvlLbl val="0"/>
      </c:catAx>
      <c:valAx>
        <c:axId val="488941871"/>
        <c:scaling>
          <c:orientation val="minMax"/>
        </c:scaling>
        <c:delete val="1"/>
        <c:axPos val="b"/>
        <c:numFmt formatCode="0" sourceLinked="1"/>
        <c:majorTickMark val="none"/>
        <c:minorTickMark val="none"/>
        <c:tickLblPos val="nextTo"/>
        <c:crossAx val="488941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311861544637623E-2"/>
          <c:y val="7.8563342468126171E-2"/>
          <c:w val="0.81994255863962517"/>
          <c:h val="0.67166343638606141"/>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Report'!$E$5:$E$36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1-B356-43D1-9271-F3197E320069}"/>
            </c:ext>
          </c:extLst>
        </c:ser>
        <c:dLbls>
          <c:showLegendKey val="0"/>
          <c:showVal val="0"/>
          <c:showCatName val="0"/>
          <c:showSerName val="0"/>
          <c:showPercent val="0"/>
          <c:showBubbleSize val="0"/>
        </c:dLbls>
        <c:axId val="1032635472"/>
        <c:axId val="1032642960"/>
      </c:areaChart>
      <c:catAx>
        <c:axId val="1032635472"/>
        <c:scaling>
          <c:orientation val="minMax"/>
        </c:scaling>
        <c:delete val="1"/>
        <c:axPos val="b"/>
        <c:numFmt formatCode="General" sourceLinked="1"/>
        <c:majorTickMark val="out"/>
        <c:minorTickMark val="none"/>
        <c:tickLblPos val="nextTo"/>
        <c:crossAx val="1032642960"/>
        <c:crosses val="autoZero"/>
        <c:auto val="1"/>
        <c:lblAlgn val="ctr"/>
        <c:lblOffset val="100"/>
        <c:noMultiLvlLbl val="0"/>
      </c:catAx>
      <c:valAx>
        <c:axId val="1032642960"/>
        <c:scaling>
          <c:orientation val="minMax"/>
        </c:scaling>
        <c:delete val="1"/>
        <c:axPos val="l"/>
        <c:numFmt formatCode="General" sourceLinked="1"/>
        <c:majorTickMark val="none"/>
        <c:minorTickMark val="none"/>
        <c:tickLblPos val="nextTo"/>
        <c:crossAx val="103263547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Report!PivotTable5</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Report'!$H$4</c:f>
              <c:strCache>
                <c:ptCount val="1"/>
                <c:pt idx="0">
                  <c:v>Total</c:v>
                </c:pt>
              </c:strCache>
            </c:strRef>
          </c:tx>
          <c:spPr>
            <a:solidFill>
              <a:schemeClr val="accent1"/>
            </a:solidFill>
            <a:ln w="25400">
              <a:noFill/>
            </a:ln>
            <a:effectLst/>
          </c:spPr>
          <c:cat>
            <c:strRef>
              <c:f>'Pivot Report'!$G$5:$G$36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Report'!$H$5:$H$36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1-0549-4A49-9268-837465DFAF6F}"/>
            </c:ext>
          </c:extLst>
        </c:ser>
        <c:dLbls>
          <c:showLegendKey val="0"/>
          <c:showVal val="0"/>
          <c:showCatName val="0"/>
          <c:showSerName val="0"/>
          <c:showPercent val="0"/>
          <c:showBubbleSize val="0"/>
        </c:dLbls>
        <c:axId val="489251775"/>
        <c:axId val="489266751"/>
      </c:areaChart>
      <c:catAx>
        <c:axId val="489251775"/>
        <c:scaling>
          <c:orientation val="minMax"/>
        </c:scaling>
        <c:delete val="1"/>
        <c:axPos val="b"/>
        <c:numFmt formatCode="General" sourceLinked="1"/>
        <c:majorTickMark val="out"/>
        <c:minorTickMark val="none"/>
        <c:tickLblPos val="nextTo"/>
        <c:crossAx val="489266751"/>
        <c:crosses val="autoZero"/>
        <c:auto val="1"/>
        <c:lblAlgn val="ctr"/>
        <c:lblOffset val="100"/>
        <c:noMultiLvlLbl val="0"/>
      </c:catAx>
      <c:valAx>
        <c:axId val="489266751"/>
        <c:scaling>
          <c:orientation val="minMax"/>
        </c:scaling>
        <c:delete val="1"/>
        <c:axPos val="l"/>
        <c:numFmt formatCode="0.00" sourceLinked="1"/>
        <c:majorTickMark val="none"/>
        <c:minorTickMark val="none"/>
        <c:tickLblPos val="nextTo"/>
        <c:crossAx val="48925177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Report!PivotTable6</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409168920674178E-2"/>
          <c:y val="0.1236270123448389"/>
          <c:w val="0.93002546281744936"/>
          <c:h val="0.74836649870085425"/>
        </c:manualLayout>
      </c:layout>
      <c:areaChart>
        <c:grouping val="standard"/>
        <c:varyColors val="0"/>
        <c:ser>
          <c:idx val="0"/>
          <c:order val="0"/>
          <c:tx>
            <c:strRef>
              <c:f>'Pivot Report'!$K$4</c:f>
              <c:strCache>
                <c:ptCount val="1"/>
                <c:pt idx="0">
                  <c:v>Total</c:v>
                </c:pt>
              </c:strCache>
            </c:strRef>
          </c:tx>
          <c:spPr>
            <a:solidFill>
              <a:schemeClr val="accent1"/>
            </a:solidFill>
            <a:ln w="25400">
              <a:noFill/>
            </a:ln>
            <a:effectLst/>
          </c:spPr>
          <c:cat>
            <c:strRef>
              <c:f>'Pivot Report'!$J$5:$J$36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Report'!$K$5:$K$36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1-1134-4CF4-8201-6E018A145B2B}"/>
            </c:ext>
          </c:extLst>
        </c:ser>
        <c:dLbls>
          <c:showLegendKey val="0"/>
          <c:showVal val="0"/>
          <c:showCatName val="0"/>
          <c:showSerName val="0"/>
          <c:showPercent val="0"/>
          <c:showBubbleSize val="0"/>
        </c:dLbls>
        <c:axId val="489316127"/>
        <c:axId val="489316543"/>
      </c:areaChart>
      <c:catAx>
        <c:axId val="489316127"/>
        <c:scaling>
          <c:orientation val="minMax"/>
        </c:scaling>
        <c:delete val="1"/>
        <c:axPos val="b"/>
        <c:numFmt formatCode="General" sourceLinked="1"/>
        <c:majorTickMark val="out"/>
        <c:minorTickMark val="none"/>
        <c:tickLblPos val="nextTo"/>
        <c:crossAx val="489316543"/>
        <c:crosses val="autoZero"/>
        <c:auto val="1"/>
        <c:lblAlgn val="ctr"/>
        <c:lblOffset val="100"/>
        <c:noMultiLvlLbl val="0"/>
      </c:catAx>
      <c:valAx>
        <c:axId val="489316543"/>
        <c:scaling>
          <c:orientation val="minMax"/>
        </c:scaling>
        <c:delete val="1"/>
        <c:axPos val="l"/>
        <c:numFmt formatCode="0.00" sourceLinked="1"/>
        <c:majorTickMark val="none"/>
        <c:minorTickMark val="none"/>
        <c:tickLblPos val="nextTo"/>
        <c:crossAx val="48931612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Report!PivotTable8</c:name>
    <c:fmtId val="37"/>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pivotFmt>
    </c:pivotFmts>
    <c:plotArea>
      <c:layout>
        <c:manualLayout>
          <c:layoutTarget val="inner"/>
          <c:xMode val="edge"/>
          <c:yMode val="edge"/>
          <c:x val="0.18137354104183198"/>
          <c:y val="0.18447704453297967"/>
          <c:w val="0.60261992846472012"/>
          <c:h val="0.72171585273861627"/>
        </c:manualLayout>
      </c:layout>
      <c:pieChart>
        <c:varyColors val="1"/>
        <c:ser>
          <c:idx val="0"/>
          <c:order val="0"/>
          <c:tx>
            <c:strRef>
              <c:f>'Pivot Report'!$B$50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Report'!$A$51:$A$53</c:f>
              <c:strCache>
                <c:ptCount val="2"/>
                <c:pt idx="0">
                  <c:v>Delay</c:v>
                </c:pt>
                <c:pt idx="1">
                  <c:v>Ontime</c:v>
                </c:pt>
              </c:strCache>
            </c:strRef>
          </c:cat>
          <c:val>
            <c:numRef>
              <c:f>'Pivot Report'!$B$51:$B$53</c:f>
              <c:numCache>
                <c:formatCode>0</c:formatCode>
                <c:ptCount val="2"/>
                <c:pt idx="0">
                  <c:v>316</c:v>
                </c:pt>
                <c:pt idx="1">
                  <c:v>197</c:v>
                </c:pt>
              </c:numCache>
            </c:numRef>
          </c:val>
          <c:extLst>
            <c:ext xmlns:c16="http://schemas.microsoft.com/office/drawing/2014/chart" uri="{C3380CC4-5D6E-409C-BE32-E72D297353CC}">
              <c16:uniqueId val="{00000006-DFB9-46A2-946F-A868964BF52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8.6986081772146701E-2"/>
          <c:y val="3.8702544313759663E-2"/>
          <c:w val="0.71239671429960161"/>
          <c:h val="0.14771142114680386"/>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Report!PivotTable9</c:name>
    <c:fmtId val="41"/>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9975405762670986"/>
          <c:y val="0.16407863443417528"/>
          <c:w val="0.60210180109391354"/>
          <c:h val="0.67426317849294026"/>
        </c:manualLayout>
      </c:layout>
      <c:doughnutChart>
        <c:varyColors val="1"/>
        <c:ser>
          <c:idx val="0"/>
          <c:order val="0"/>
          <c:tx>
            <c:strRef>
              <c:f>'Pivot Report'!$B$55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Report'!$A$56:$A$58</c:f>
              <c:strCache>
                <c:ptCount val="2"/>
                <c:pt idx="0">
                  <c:v>Female</c:v>
                </c:pt>
                <c:pt idx="1">
                  <c:v>Male</c:v>
                </c:pt>
              </c:strCache>
            </c:strRef>
          </c:cat>
          <c:val>
            <c:numRef>
              <c:f>'Pivot Report'!$B$56:$B$58</c:f>
              <c:numCache>
                <c:formatCode>0</c:formatCode>
                <c:ptCount val="2"/>
                <c:pt idx="0">
                  <c:v>241</c:v>
                </c:pt>
                <c:pt idx="1">
                  <c:v>272</c:v>
                </c:pt>
              </c:numCache>
            </c:numRef>
          </c:val>
          <c:extLst>
            <c:ext xmlns:c16="http://schemas.microsoft.com/office/drawing/2014/chart" uri="{C3380CC4-5D6E-409C-BE32-E72D297353CC}">
              <c16:uniqueId val="{00000006-CA83-48D9-9068-9ED3A074999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0479432402429257"/>
          <c:y val="1.6382306616100732E-2"/>
          <c:w val="0.56549186679304864"/>
          <c:h val="0.15625109361329836"/>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Report!PivotTable10</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Report'!$A$62:$A$70</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Report'!$B$62:$B$70</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2-B93C-4615-99C1-47C9A883E080}"/>
            </c:ext>
          </c:extLst>
        </c:ser>
        <c:dLbls>
          <c:showLegendKey val="0"/>
          <c:showVal val="0"/>
          <c:showCatName val="0"/>
          <c:showSerName val="0"/>
          <c:showPercent val="0"/>
          <c:showBubbleSize val="0"/>
        </c:dLbls>
        <c:gapWidth val="182"/>
        <c:axId val="1236055487"/>
        <c:axId val="1236050495"/>
      </c:barChart>
      <c:catAx>
        <c:axId val="1236055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36050495"/>
        <c:crosses val="autoZero"/>
        <c:auto val="1"/>
        <c:lblAlgn val="ctr"/>
        <c:lblOffset val="100"/>
        <c:noMultiLvlLbl val="0"/>
      </c:catAx>
      <c:valAx>
        <c:axId val="1236050495"/>
        <c:scaling>
          <c:orientation val="minMax"/>
        </c:scaling>
        <c:delete val="1"/>
        <c:axPos val="b"/>
        <c:numFmt formatCode="0" sourceLinked="1"/>
        <c:majorTickMark val="none"/>
        <c:minorTickMark val="none"/>
        <c:tickLblPos val="nextTo"/>
        <c:crossAx val="12360554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Report!PivotTable11</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Report'!$F$50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Report'!$E$51:$E$59</c:f>
              <c:strCache>
                <c:ptCount val="8"/>
                <c:pt idx="0">
                  <c:v>0-09</c:v>
                </c:pt>
                <c:pt idx="1">
                  <c:v>10-19</c:v>
                </c:pt>
                <c:pt idx="2">
                  <c:v>20-29</c:v>
                </c:pt>
                <c:pt idx="3">
                  <c:v>30-39</c:v>
                </c:pt>
                <c:pt idx="4">
                  <c:v>40-49</c:v>
                </c:pt>
                <c:pt idx="5">
                  <c:v>50-59</c:v>
                </c:pt>
                <c:pt idx="6">
                  <c:v>60-69</c:v>
                </c:pt>
                <c:pt idx="7">
                  <c:v>70-79</c:v>
                </c:pt>
              </c:strCache>
            </c:strRef>
          </c:cat>
          <c:val>
            <c:numRef>
              <c:f>'Pivot Report'!$F$51:$F$59</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2-D1C4-4775-A375-06F1EE3FECFA}"/>
            </c:ext>
          </c:extLst>
        </c:ser>
        <c:dLbls>
          <c:showLegendKey val="0"/>
          <c:showVal val="0"/>
          <c:showCatName val="0"/>
          <c:showSerName val="0"/>
          <c:showPercent val="0"/>
          <c:showBubbleSize val="0"/>
        </c:dLbls>
        <c:gapWidth val="219"/>
        <c:overlap val="-27"/>
        <c:axId val="1236073375"/>
        <c:axId val="1236077535"/>
      </c:barChart>
      <c:catAx>
        <c:axId val="123607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36077535"/>
        <c:crosses val="autoZero"/>
        <c:auto val="1"/>
        <c:lblAlgn val="ctr"/>
        <c:lblOffset val="100"/>
        <c:noMultiLvlLbl val="0"/>
      </c:catAx>
      <c:valAx>
        <c:axId val="1236077535"/>
        <c:scaling>
          <c:orientation val="minMax"/>
        </c:scaling>
        <c:delete val="1"/>
        <c:axPos val="l"/>
        <c:numFmt formatCode="0" sourceLinked="1"/>
        <c:majorTickMark val="none"/>
        <c:minorTickMark val="none"/>
        <c:tickLblPos val="nextTo"/>
        <c:crossAx val="1236073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Report!PivotTable6</c:name>
    <c:fmtId val="3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Report'!$K$5:$K$36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4588-491D-B12A-BA73EEA27E2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89316127"/>
        <c:axId val="489316543"/>
      </c:areaChart>
      <c:catAx>
        <c:axId val="48931612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489316543"/>
        <c:crosses val="autoZero"/>
        <c:auto val="1"/>
        <c:lblAlgn val="ctr"/>
        <c:lblOffset val="100"/>
        <c:noMultiLvlLbl val="0"/>
      </c:catAx>
      <c:valAx>
        <c:axId val="489316543"/>
        <c:scaling>
          <c:orientation val="minMax"/>
        </c:scaling>
        <c:delete val="1"/>
        <c:axPos val="l"/>
        <c:numFmt formatCode="0.00" sourceLinked="1"/>
        <c:majorTickMark val="out"/>
        <c:minorTickMark val="none"/>
        <c:tickLblPos val="nextTo"/>
        <c:crossAx val="48931612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Report!PivotTable5</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Report'!$G$5:$G$36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Report'!$H$5:$H$36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A365-4523-9B6A-C381690993D3}"/>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89251775"/>
        <c:axId val="489266751"/>
      </c:areaChart>
      <c:catAx>
        <c:axId val="48925177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endParaRPr lang="en-US"/>
          </a:p>
        </c:txPr>
        <c:crossAx val="489266751"/>
        <c:crosses val="autoZero"/>
        <c:auto val="1"/>
        <c:lblAlgn val="ctr"/>
        <c:lblOffset val="100"/>
        <c:noMultiLvlLbl val="0"/>
      </c:catAx>
      <c:valAx>
        <c:axId val="48926675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925177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Report!PivotTable4</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679223783954842E-2"/>
          <c:y val="7.8563342468126171E-2"/>
          <c:w val="0.81994255863962517"/>
          <c:h val="0.67166343638606141"/>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Report'!$E$5:$E$36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B4F1-492E-B49D-03B08E791D2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32635472"/>
        <c:axId val="1032642960"/>
      </c:areaChart>
      <c:catAx>
        <c:axId val="10326354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32642960"/>
        <c:crosses val="autoZero"/>
        <c:auto val="1"/>
        <c:lblAlgn val="ctr"/>
        <c:lblOffset val="100"/>
        <c:noMultiLvlLbl val="0"/>
      </c:catAx>
      <c:valAx>
        <c:axId val="1032642960"/>
        <c:scaling>
          <c:orientation val="minMax"/>
        </c:scaling>
        <c:delete val="1"/>
        <c:axPos val="l"/>
        <c:numFmt formatCode="General" sourceLinked="1"/>
        <c:majorTickMark val="out"/>
        <c:minorTickMark val="none"/>
        <c:tickLblPos val="nextTo"/>
        <c:crossAx val="103263547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4.xml"/><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Average Wait Time Daily Trends'!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1093471</xdr:colOff>
      <xdr:row>44</xdr:row>
      <xdr:rowOff>54429</xdr:rowOff>
    </xdr:from>
    <xdr:to>
      <xdr:col>3</xdr:col>
      <xdr:colOff>1513114</xdr:colOff>
      <xdr:row>47</xdr:row>
      <xdr:rowOff>92528</xdr:rowOff>
    </xdr:to>
    <xdr:graphicFrame macro="">
      <xdr:nvGraphicFramePr>
        <xdr:cNvPr id="6" name="Chart 5">
          <a:extLst>
            <a:ext uri="{FF2B5EF4-FFF2-40B4-BE49-F238E27FC236}">
              <a16:creationId xmlns:a16="http://schemas.microsoft.com/office/drawing/2014/main" id="{DBEE8F22-A29A-4FDA-9E57-58FBBBAB8C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52251</xdr:colOff>
      <xdr:row>0</xdr:row>
      <xdr:rowOff>34834</xdr:rowOff>
    </xdr:from>
    <xdr:to>
      <xdr:col>5</xdr:col>
      <xdr:colOff>274319</xdr:colOff>
      <xdr:row>2</xdr:row>
      <xdr:rowOff>56606</xdr:rowOff>
    </xdr:to>
    <xdr:sp macro="" textlink="">
      <xdr:nvSpPr>
        <xdr:cNvPr id="2" name="Rectangle: Rounded Corners 1">
          <a:extLst>
            <a:ext uri="{FF2B5EF4-FFF2-40B4-BE49-F238E27FC236}">
              <a16:creationId xmlns:a16="http://schemas.microsoft.com/office/drawing/2014/main" id="{E490D559-DC7C-4469-AE5E-D39AB75BA23A}"/>
            </a:ext>
          </a:extLst>
        </xdr:cNvPr>
        <xdr:cNvSpPr/>
      </xdr:nvSpPr>
      <xdr:spPr>
        <a:xfrm>
          <a:off x="52251" y="34834"/>
          <a:ext cx="3270068" cy="387532"/>
        </a:xfrm>
        <a:prstGeom prst="roundRect">
          <a:avLst>
            <a:gd name="adj" fmla="val 7678"/>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5</xdr:col>
      <xdr:colOff>322219</xdr:colOff>
      <xdr:row>0</xdr:row>
      <xdr:rowOff>30482</xdr:rowOff>
    </xdr:from>
    <xdr:to>
      <xdr:col>7</xdr:col>
      <xdr:colOff>8708</xdr:colOff>
      <xdr:row>2</xdr:row>
      <xdr:rowOff>52254</xdr:rowOff>
    </xdr:to>
    <xdr:sp macro="" textlink="">
      <xdr:nvSpPr>
        <xdr:cNvPr id="3" name="Rectangle: Rounded Corners 2">
          <a:extLst>
            <a:ext uri="{FF2B5EF4-FFF2-40B4-BE49-F238E27FC236}">
              <a16:creationId xmlns:a16="http://schemas.microsoft.com/office/drawing/2014/main" id="{EEECA4B9-A028-4959-A511-9D7EB1629DFF}"/>
            </a:ext>
          </a:extLst>
        </xdr:cNvPr>
        <xdr:cNvSpPr/>
      </xdr:nvSpPr>
      <xdr:spPr>
        <a:xfrm>
          <a:off x="3370219" y="30482"/>
          <a:ext cx="914398" cy="387532"/>
        </a:xfrm>
        <a:prstGeom prst="roundRect">
          <a:avLst>
            <a:gd name="adj" fmla="val 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74023</xdr:colOff>
      <xdr:row>0</xdr:row>
      <xdr:rowOff>39186</xdr:rowOff>
    </xdr:from>
    <xdr:to>
      <xdr:col>9</xdr:col>
      <xdr:colOff>148046</xdr:colOff>
      <xdr:row>6</xdr:row>
      <xdr:rowOff>121918</xdr:rowOff>
    </xdr:to>
    <xdr:sp macro="" textlink="">
      <xdr:nvSpPr>
        <xdr:cNvPr id="4" name="Rectangle: Rounded Corners 3">
          <a:extLst>
            <a:ext uri="{FF2B5EF4-FFF2-40B4-BE49-F238E27FC236}">
              <a16:creationId xmlns:a16="http://schemas.microsoft.com/office/drawing/2014/main" id="{6A9DE314-4AF6-458F-A427-98C7783EAA53}"/>
            </a:ext>
          </a:extLst>
        </xdr:cNvPr>
        <xdr:cNvSpPr/>
      </xdr:nvSpPr>
      <xdr:spPr>
        <a:xfrm>
          <a:off x="4349932" y="39186"/>
          <a:ext cx="1293223" cy="1197429"/>
        </a:xfrm>
        <a:prstGeom prst="roundRect">
          <a:avLst>
            <a:gd name="adj" fmla="val 3576"/>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204650</xdr:colOff>
      <xdr:row>0</xdr:row>
      <xdr:rowOff>47896</xdr:rowOff>
    </xdr:from>
    <xdr:to>
      <xdr:col>11</xdr:col>
      <xdr:colOff>278673</xdr:colOff>
      <xdr:row>6</xdr:row>
      <xdr:rowOff>130628</xdr:rowOff>
    </xdr:to>
    <xdr:sp macro="" textlink="">
      <xdr:nvSpPr>
        <xdr:cNvPr id="5" name="Rectangle: Rounded Corners 4">
          <a:extLst>
            <a:ext uri="{FF2B5EF4-FFF2-40B4-BE49-F238E27FC236}">
              <a16:creationId xmlns:a16="http://schemas.microsoft.com/office/drawing/2014/main" id="{6FBF6ABF-AF8D-4DB5-A748-0AD838B20CAC}"/>
            </a:ext>
          </a:extLst>
        </xdr:cNvPr>
        <xdr:cNvSpPr/>
      </xdr:nvSpPr>
      <xdr:spPr>
        <a:xfrm>
          <a:off x="5699759" y="47896"/>
          <a:ext cx="1293223" cy="1197429"/>
        </a:xfrm>
        <a:prstGeom prst="roundRect">
          <a:avLst>
            <a:gd name="adj" fmla="val 2485"/>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47897</xdr:colOff>
      <xdr:row>2</xdr:row>
      <xdr:rowOff>117566</xdr:rowOff>
    </xdr:from>
    <xdr:to>
      <xdr:col>1</xdr:col>
      <xdr:colOff>26126</xdr:colOff>
      <xdr:row>15</xdr:row>
      <xdr:rowOff>152401</xdr:rowOff>
    </xdr:to>
    <xdr:sp macro="" textlink="">
      <xdr:nvSpPr>
        <xdr:cNvPr id="6" name="Rectangle: Rounded Corners 5">
          <a:extLst>
            <a:ext uri="{FF2B5EF4-FFF2-40B4-BE49-F238E27FC236}">
              <a16:creationId xmlns:a16="http://schemas.microsoft.com/office/drawing/2014/main" id="{A5C15422-518E-4B74-A000-3770766E23D1}"/>
            </a:ext>
          </a:extLst>
        </xdr:cNvPr>
        <xdr:cNvSpPr/>
      </xdr:nvSpPr>
      <xdr:spPr>
        <a:xfrm>
          <a:off x="47897" y="483326"/>
          <a:ext cx="587829" cy="2429692"/>
        </a:xfrm>
        <a:prstGeom prst="roundRect">
          <a:avLst>
            <a:gd name="adj" fmla="val 7037"/>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95794</xdr:colOff>
      <xdr:row>2</xdr:row>
      <xdr:rowOff>113210</xdr:rowOff>
    </xdr:from>
    <xdr:to>
      <xdr:col>3</xdr:col>
      <xdr:colOff>32454</xdr:colOff>
      <xdr:row>6</xdr:row>
      <xdr:rowOff>104502</xdr:rowOff>
    </xdr:to>
    <xdr:sp macro="" textlink="">
      <xdr:nvSpPr>
        <xdr:cNvPr id="7" name="Rectangle: Rounded Corners 6">
          <a:extLst>
            <a:ext uri="{FF2B5EF4-FFF2-40B4-BE49-F238E27FC236}">
              <a16:creationId xmlns:a16="http://schemas.microsoft.com/office/drawing/2014/main" id="{BB6933BD-BAD4-4B0A-9D19-B2B1817B07DA}"/>
            </a:ext>
          </a:extLst>
        </xdr:cNvPr>
        <xdr:cNvSpPr/>
      </xdr:nvSpPr>
      <xdr:spPr>
        <a:xfrm>
          <a:off x="705394" y="478970"/>
          <a:ext cx="1155860" cy="740229"/>
        </a:xfrm>
        <a:prstGeom prst="roundRect">
          <a:avLst>
            <a:gd name="adj" fmla="val 6667"/>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85782</xdr:colOff>
      <xdr:row>2</xdr:row>
      <xdr:rowOff>121920</xdr:rowOff>
    </xdr:from>
    <xdr:to>
      <xdr:col>5</xdr:col>
      <xdr:colOff>22442</xdr:colOff>
      <xdr:row>6</xdr:row>
      <xdr:rowOff>113212</xdr:rowOff>
    </xdr:to>
    <xdr:sp macro="" textlink="">
      <xdr:nvSpPr>
        <xdr:cNvPr id="8" name="Rectangle: Rounded Corners 7">
          <a:extLst>
            <a:ext uri="{FF2B5EF4-FFF2-40B4-BE49-F238E27FC236}">
              <a16:creationId xmlns:a16="http://schemas.microsoft.com/office/drawing/2014/main" id="{70439EE5-DBF9-4EA6-8DA1-BAC57F3EA222}"/>
            </a:ext>
          </a:extLst>
        </xdr:cNvPr>
        <xdr:cNvSpPr/>
      </xdr:nvSpPr>
      <xdr:spPr>
        <a:xfrm>
          <a:off x="1914582" y="487680"/>
          <a:ext cx="1155860" cy="740229"/>
        </a:xfrm>
        <a:prstGeom prst="roundRect">
          <a:avLst>
            <a:gd name="adj" fmla="val 8432"/>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155229</xdr:colOff>
      <xdr:row>2</xdr:row>
      <xdr:rowOff>121920</xdr:rowOff>
    </xdr:from>
    <xdr:to>
      <xdr:col>6</xdr:col>
      <xdr:colOff>609599</xdr:colOff>
      <xdr:row>6</xdr:row>
      <xdr:rowOff>113212</xdr:rowOff>
    </xdr:to>
    <xdr:sp macro="" textlink="">
      <xdr:nvSpPr>
        <xdr:cNvPr id="9" name="Rectangle: Rounded Corners 8">
          <a:extLst>
            <a:ext uri="{FF2B5EF4-FFF2-40B4-BE49-F238E27FC236}">
              <a16:creationId xmlns:a16="http://schemas.microsoft.com/office/drawing/2014/main" id="{D190B029-3A85-4752-9F0B-EDD685D3E972}"/>
            </a:ext>
          </a:extLst>
        </xdr:cNvPr>
        <xdr:cNvSpPr/>
      </xdr:nvSpPr>
      <xdr:spPr>
        <a:xfrm>
          <a:off x="3203229" y="487680"/>
          <a:ext cx="1063970" cy="740229"/>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100148</xdr:colOff>
      <xdr:row>6</xdr:row>
      <xdr:rowOff>161107</xdr:rowOff>
    </xdr:from>
    <xdr:to>
      <xdr:col>6</xdr:col>
      <xdr:colOff>605246</xdr:colOff>
      <xdr:row>9</xdr:row>
      <xdr:rowOff>143691</xdr:rowOff>
    </xdr:to>
    <xdr:sp macro="" textlink="">
      <xdr:nvSpPr>
        <xdr:cNvPr id="25" name="Rectangle: Rounded Corners 24">
          <a:extLst>
            <a:ext uri="{FF2B5EF4-FFF2-40B4-BE49-F238E27FC236}">
              <a16:creationId xmlns:a16="http://schemas.microsoft.com/office/drawing/2014/main" id="{56690195-8720-48FB-93C5-8DA066A514F8}"/>
            </a:ext>
          </a:extLst>
        </xdr:cNvPr>
        <xdr:cNvSpPr/>
      </xdr:nvSpPr>
      <xdr:spPr>
        <a:xfrm>
          <a:off x="709748" y="1275804"/>
          <a:ext cx="3553098" cy="531224"/>
        </a:xfrm>
        <a:prstGeom prst="roundRect">
          <a:avLst>
            <a:gd name="adj" fmla="val 4371"/>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100148</xdr:colOff>
      <xdr:row>10</xdr:row>
      <xdr:rowOff>4352</xdr:rowOff>
    </xdr:from>
    <xdr:to>
      <xdr:col>6</xdr:col>
      <xdr:colOff>592183</xdr:colOff>
      <xdr:row>15</xdr:row>
      <xdr:rowOff>148045</xdr:rowOff>
    </xdr:to>
    <xdr:sp macro="" textlink="">
      <xdr:nvSpPr>
        <xdr:cNvPr id="26" name="Rectangle: Rounded Corners 25">
          <a:extLst>
            <a:ext uri="{FF2B5EF4-FFF2-40B4-BE49-F238E27FC236}">
              <a16:creationId xmlns:a16="http://schemas.microsoft.com/office/drawing/2014/main" id="{4EFC7ABD-CF54-4492-BFAE-3FA9958D593D}"/>
            </a:ext>
          </a:extLst>
        </xdr:cNvPr>
        <xdr:cNvSpPr/>
      </xdr:nvSpPr>
      <xdr:spPr>
        <a:xfrm>
          <a:off x="709748" y="1850569"/>
          <a:ext cx="3540035" cy="1058093"/>
        </a:xfrm>
        <a:prstGeom prst="roundRect">
          <a:avLst>
            <a:gd name="adj" fmla="val 1852"/>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65314</xdr:colOff>
      <xdr:row>7</xdr:row>
      <xdr:rowOff>8711</xdr:rowOff>
    </xdr:from>
    <xdr:to>
      <xdr:col>11</xdr:col>
      <xdr:colOff>274320</xdr:colOff>
      <xdr:row>15</xdr:row>
      <xdr:rowOff>143692</xdr:rowOff>
    </xdr:to>
    <xdr:sp macro="" textlink="">
      <xdr:nvSpPr>
        <xdr:cNvPr id="27" name="Rectangle: Rounded Corners 26">
          <a:extLst>
            <a:ext uri="{FF2B5EF4-FFF2-40B4-BE49-F238E27FC236}">
              <a16:creationId xmlns:a16="http://schemas.microsoft.com/office/drawing/2014/main" id="{3B4B9011-F527-4C4E-BA97-09E3E1513033}"/>
            </a:ext>
          </a:extLst>
        </xdr:cNvPr>
        <xdr:cNvSpPr/>
      </xdr:nvSpPr>
      <xdr:spPr>
        <a:xfrm>
          <a:off x="4341223" y="1306288"/>
          <a:ext cx="2647406" cy="1598021"/>
        </a:xfrm>
        <a:prstGeom prst="roundRect">
          <a:avLst>
            <a:gd name="adj" fmla="val 140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478972</xdr:colOff>
      <xdr:row>0</xdr:row>
      <xdr:rowOff>56606</xdr:rowOff>
    </xdr:from>
    <xdr:to>
      <xdr:col>5</xdr:col>
      <xdr:colOff>222069</xdr:colOff>
      <xdr:row>1</xdr:row>
      <xdr:rowOff>69669</xdr:rowOff>
    </xdr:to>
    <xdr:sp macro="" textlink="">
      <xdr:nvSpPr>
        <xdr:cNvPr id="28" name="TextBox 27">
          <a:extLst>
            <a:ext uri="{FF2B5EF4-FFF2-40B4-BE49-F238E27FC236}">
              <a16:creationId xmlns:a16="http://schemas.microsoft.com/office/drawing/2014/main" id="{1D8793E2-810E-47BC-9A76-630971FDECDD}"/>
            </a:ext>
          </a:extLst>
        </xdr:cNvPr>
        <xdr:cNvSpPr txBox="1"/>
      </xdr:nvSpPr>
      <xdr:spPr>
        <a:xfrm>
          <a:off x="478972" y="56606"/>
          <a:ext cx="2791097" cy="195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Hospital Emergency Room Dashboard</a:t>
          </a:r>
        </a:p>
      </xdr:txBody>
    </xdr:sp>
    <xdr:clientData/>
  </xdr:twoCellAnchor>
  <xdr:twoCellAnchor editAs="oneCell">
    <xdr:from>
      <xdr:col>0</xdr:col>
      <xdr:colOff>17418</xdr:colOff>
      <xdr:row>0</xdr:row>
      <xdr:rowOff>87086</xdr:rowOff>
    </xdr:from>
    <xdr:to>
      <xdr:col>1</xdr:col>
      <xdr:colOff>65316</xdr:colOff>
      <xdr:row>2</xdr:row>
      <xdr:rowOff>30480</xdr:rowOff>
    </xdr:to>
    <xdr:pic>
      <xdr:nvPicPr>
        <xdr:cNvPr id="30" name="Picture 29">
          <a:extLst>
            <a:ext uri="{FF2B5EF4-FFF2-40B4-BE49-F238E27FC236}">
              <a16:creationId xmlns:a16="http://schemas.microsoft.com/office/drawing/2014/main" id="{759F9D05-9F1D-40D8-8308-6958E56AEDA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000" t="14409" r="9499" b="21652"/>
        <a:stretch/>
      </xdr:blipFill>
      <xdr:spPr>
        <a:xfrm>
          <a:off x="17418" y="87086"/>
          <a:ext cx="657498" cy="309154"/>
        </a:xfrm>
        <a:prstGeom prst="rect">
          <a:avLst/>
        </a:prstGeom>
      </xdr:spPr>
    </xdr:pic>
    <xdr:clientData/>
  </xdr:twoCellAnchor>
  <xdr:oneCellAnchor>
    <xdr:from>
      <xdr:col>12</xdr:col>
      <xdr:colOff>182880</xdr:colOff>
      <xdr:row>1</xdr:row>
      <xdr:rowOff>126274</xdr:rowOff>
    </xdr:from>
    <xdr:ext cx="184731" cy="264560"/>
    <xdr:sp macro="" textlink="">
      <xdr:nvSpPr>
        <xdr:cNvPr id="34" name="TextBox 33">
          <a:extLst>
            <a:ext uri="{FF2B5EF4-FFF2-40B4-BE49-F238E27FC236}">
              <a16:creationId xmlns:a16="http://schemas.microsoft.com/office/drawing/2014/main" id="{129AD12F-240B-49B0-AAE7-4453CD59451E}"/>
            </a:ext>
          </a:extLst>
        </xdr:cNvPr>
        <xdr:cNvSpPr txBox="1"/>
      </xdr:nvSpPr>
      <xdr:spPr>
        <a:xfrm>
          <a:off x="7506789" y="3091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74023</xdr:colOff>
      <xdr:row>0</xdr:row>
      <xdr:rowOff>178525</xdr:rowOff>
    </xdr:from>
    <xdr:to>
      <xdr:col>4</xdr:col>
      <xdr:colOff>0</xdr:colOff>
      <xdr:row>2</xdr:row>
      <xdr:rowOff>43543</xdr:rowOff>
    </xdr:to>
    <xdr:sp macro="" textlink="">
      <xdr:nvSpPr>
        <xdr:cNvPr id="37" name="TextBox 36">
          <a:extLst>
            <a:ext uri="{FF2B5EF4-FFF2-40B4-BE49-F238E27FC236}">
              <a16:creationId xmlns:a16="http://schemas.microsoft.com/office/drawing/2014/main" id="{AF5CB11A-DB1F-451C-ABD9-54FF2685E046}"/>
            </a:ext>
          </a:extLst>
        </xdr:cNvPr>
        <xdr:cNvSpPr txBox="1"/>
      </xdr:nvSpPr>
      <xdr:spPr>
        <a:xfrm>
          <a:off x="1293223" y="178525"/>
          <a:ext cx="1145177" cy="230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a:t>Monthly Report</a:t>
          </a:r>
        </a:p>
      </xdr:txBody>
    </xdr:sp>
    <xdr:clientData/>
  </xdr:twoCellAnchor>
  <xdr:twoCellAnchor>
    <xdr:from>
      <xdr:col>1</xdr:col>
      <xdr:colOff>87087</xdr:colOff>
      <xdr:row>3</xdr:row>
      <xdr:rowOff>148047</xdr:rowOff>
    </xdr:from>
    <xdr:to>
      <xdr:col>3</xdr:col>
      <xdr:colOff>30480</xdr:colOff>
      <xdr:row>4</xdr:row>
      <xdr:rowOff>165464</xdr:rowOff>
    </xdr:to>
    <xdr:sp macro="" textlink="">
      <xdr:nvSpPr>
        <xdr:cNvPr id="38" name="TextBox 37">
          <a:extLst>
            <a:ext uri="{FF2B5EF4-FFF2-40B4-BE49-F238E27FC236}">
              <a16:creationId xmlns:a16="http://schemas.microsoft.com/office/drawing/2014/main" id="{325BEC41-66C6-4D87-8EC5-EC930314D239}"/>
            </a:ext>
          </a:extLst>
        </xdr:cNvPr>
        <xdr:cNvSpPr txBox="1"/>
      </xdr:nvSpPr>
      <xdr:spPr>
        <a:xfrm>
          <a:off x="696687" y="696687"/>
          <a:ext cx="1162593"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700"/>
            <a:t>No.</a:t>
          </a:r>
          <a:r>
            <a:rPr lang="en-IN" sz="700" baseline="0"/>
            <a:t> of Patient</a:t>
          </a:r>
          <a:endParaRPr lang="en-IN" sz="700"/>
        </a:p>
      </xdr:txBody>
    </xdr:sp>
    <xdr:clientData/>
  </xdr:twoCellAnchor>
  <xdr:twoCellAnchor>
    <xdr:from>
      <xdr:col>1</xdr:col>
      <xdr:colOff>91441</xdr:colOff>
      <xdr:row>3</xdr:row>
      <xdr:rowOff>17421</xdr:rowOff>
    </xdr:from>
    <xdr:to>
      <xdr:col>3</xdr:col>
      <xdr:colOff>17417</xdr:colOff>
      <xdr:row>4</xdr:row>
      <xdr:rowOff>30483</xdr:rowOff>
    </xdr:to>
    <xdr:sp macro="" textlink="'Pivot Report'!A5">
      <xdr:nvSpPr>
        <xdr:cNvPr id="40" name="TextBox 39">
          <a:extLst>
            <a:ext uri="{FF2B5EF4-FFF2-40B4-BE49-F238E27FC236}">
              <a16:creationId xmlns:a16="http://schemas.microsoft.com/office/drawing/2014/main" id="{83B851DE-7479-4EE4-AE30-49D3E58A9F2D}"/>
            </a:ext>
          </a:extLst>
        </xdr:cNvPr>
        <xdr:cNvSpPr txBox="1"/>
      </xdr:nvSpPr>
      <xdr:spPr>
        <a:xfrm>
          <a:off x="701041" y="566061"/>
          <a:ext cx="1145176" cy="213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80AE97D-D5E8-4B9E-8CB2-B6323D9E1F3D}" type="TxLink">
            <a:rPr lang="en-US" sz="900" b="0" i="0" u="none" strike="noStrike">
              <a:solidFill>
                <a:srgbClr val="000000"/>
              </a:solidFill>
              <a:latin typeface="Calibri"/>
              <a:ea typeface="Calibri"/>
              <a:cs typeface="Calibri"/>
            </a:rPr>
            <a:pPr algn="ctr"/>
            <a:t>513</a:t>
          </a:fld>
          <a:endParaRPr lang="en-IN" sz="500"/>
        </a:p>
      </xdr:txBody>
    </xdr:sp>
    <xdr:clientData/>
  </xdr:twoCellAnchor>
  <xdr:twoCellAnchor editAs="absolute">
    <xdr:from>
      <xdr:col>5</xdr:col>
      <xdr:colOff>77073</xdr:colOff>
      <xdr:row>2</xdr:row>
      <xdr:rowOff>117565</xdr:rowOff>
    </xdr:from>
    <xdr:to>
      <xdr:col>7</xdr:col>
      <xdr:colOff>5024</xdr:colOff>
      <xdr:row>6</xdr:row>
      <xdr:rowOff>108857</xdr:rowOff>
    </xdr:to>
    <xdr:sp macro="" textlink="">
      <xdr:nvSpPr>
        <xdr:cNvPr id="41" name="Rectangle: Rounded Corners 40">
          <a:extLst>
            <a:ext uri="{FF2B5EF4-FFF2-40B4-BE49-F238E27FC236}">
              <a16:creationId xmlns:a16="http://schemas.microsoft.com/office/drawing/2014/main" id="{1E2FAD9D-0F96-49FC-A47A-BB3D4AEAC423}"/>
            </a:ext>
          </a:extLst>
        </xdr:cNvPr>
        <xdr:cNvSpPr/>
      </xdr:nvSpPr>
      <xdr:spPr>
        <a:xfrm>
          <a:off x="3125073" y="483325"/>
          <a:ext cx="1155860" cy="740229"/>
        </a:xfrm>
        <a:prstGeom prst="roundRect">
          <a:avLst>
            <a:gd name="adj" fmla="val 4314"/>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113211</xdr:colOff>
      <xdr:row>3</xdr:row>
      <xdr:rowOff>13067</xdr:rowOff>
    </xdr:from>
    <xdr:to>
      <xdr:col>5</xdr:col>
      <xdr:colOff>43542</xdr:colOff>
      <xdr:row>4</xdr:row>
      <xdr:rowOff>26129</xdr:rowOff>
    </xdr:to>
    <xdr:sp macro="" textlink="'Pivot Report'!A9">
      <xdr:nvSpPr>
        <xdr:cNvPr id="42" name="TextBox 41">
          <a:extLst>
            <a:ext uri="{FF2B5EF4-FFF2-40B4-BE49-F238E27FC236}">
              <a16:creationId xmlns:a16="http://schemas.microsoft.com/office/drawing/2014/main" id="{9046E3CD-5654-499F-B36D-FF3A604B16E7}"/>
            </a:ext>
          </a:extLst>
        </xdr:cNvPr>
        <xdr:cNvSpPr txBox="1"/>
      </xdr:nvSpPr>
      <xdr:spPr>
        <a:xfrm>
          <a:off x="1942011" y="561707"/>
          <a:ext cx="1149531" cy="213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03E349E-9E3F-4EB3-ABC2-A8345D632738}" type="TxLink">
            <a:rPr lang="en-US" sz="900" b="0" i="0" u="none" strike="noStrike">
              <a:solidFill>
                <a:srgbClr val="000000"/>
              </a:solidFill>
              <a:latin typeface="Calibri"/>
              <a:ea typeface="Calibri"/>
              <a:cs typeface="Calibri"/>
            </a:rPr>
            <a:pPr algn="ctr"/>
            <a:t>36.32</a:t>
          </a:fld>
          <a:endParaRPr lang="en-IN" sz="200"/>
        </a:p>
      </xdr:txBody>
    </xdr:sp>
    <xdr:clientData/>
  </xdr:twoCellAnchor>
  <xdr:twoCellAnchor>
    <xdr:from>
      <xdr:col>5</xdr:col>
      <xdr:colOff>91440</xdr:colOff>
      <xdr:row>3</xdr:row>
      <xdr:rowOff>148047</xdr:rowOff>
    </xdr:from>
    <xdr:to>
      <xdr:col>7</xdr:col>
      <xdr:colOff>43542</xdr:colOff>
      <xdr:row>4</xdr:row>
      <xdr:rowOff>165464</xdr:rowOff>
    </xdr:to>
    <xdr:sp macro="" textlink="">
      <xdr:nvSpPr>
        <xdr:cNvPr id="43" name="TextBox 42">
          <a:extLst>
            <a:ext uri="{FF2B5EF4-FFF2-40B4-BE49-F238E27FC236}">
              <a16:creationId xmlns:a16="http://schemas.microsoft.com/office/drawing/2014/main" id="{AB9E49EA-82B9-4415-AAAD-FDE0C18C8E9D}"/>
            </a:ext>
          </a:extLst>
        </xdr:cNvPr>
        <xdr:cNvSpPr txBox="1"/>
      </xdr:nvSpPr>
      <xdr:spPr>
        <a:xfrm>
          <a:off x="3139440" y="696687"/>
          <a:ext cx="1180011"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700"/>
            <a:t>Patient</a:t>
          </a:r>
          <a:r>
            <a:rPr lang="en-IN" sz="700" baseline="0"/>
            <a:t> Satisfaction Score</a:t>
          </a:r>
          <a:endParaRPr lang="en-IN" sz="700"/>
        </a:p>
      </xdr:txBody>
    </xdr:sp>
    <xdr:clientData/>
  </xdr:twoCellAnchor>
  <xdr:twoCellAnchor>
    <xdr:from>
      <xdr:col>5</xdr:col>
      <xdr:colOff>100148</xdr:colOff>
      <xdr:row>3</xdr:row>
      <xdr:rowOff>8713</xdr:rowOff>
    </xdr:from>
    <xdr:to>
      <xdr:col>7</xdr:col>
      <xdr:colOff>26124</xdr:colOff>
      <xdr:row>4</xdr:row>
      <xdr:rowOff>21775</xdr:rowOff>
    </xdr:to>
    <xdr:sp macro="" textlink="'Pivot Report'!A13">
      <xdr:nvSpPr>
        <xdr:cNvPr id="44" name="TextBox 43">
          <a:extLst>
            <a:ext uri="{FF2B5EF4-FFF2-40B4-BE49-F238E27FC236}">
              <a16:creationId xmlns:a16="http://schemas.microsoft.com/office/drawing/2014/main" id="{0AE013DB-E9AE-4067-852A-387543FFC730}"/>
            </a:ext>
          </a:extLst>
        </xdr:cNvPr>
        <xdr:cNvSpPr txBox="1"/>
      </xdr:nvSpPr>
      <xdr:spPr>
        <a:xfrm>
          <a:off x="3148148" y="557353"/>
          <a:ext cx="1153885" cy="213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E55E174-5DA4-4DE6-B565-DE0EAAD603A8}" type="TxLink">
            <a:rPr lang="en-US" sz="900" b="0" i="0" u="none" strike="noStrike">
              <a:solidFill>
                <a:srgbClr val="000000"/>
              </a:solidFill>
              <a:latin typeface="Calibri"/>
              <a:ea typeface="Calibri"/>
              <a:cs typeface="Calibri"/>
            </a:rPr>
            <a:pPr algn="ctr"/>
            <a:t>4.96</a:t>
          </a:fld>
          <a:endParaRPr lang="en-IN" sz="200"/>
        </a:p>
      </xdr:txBody>
    </xdr:sp>
    <xdr:clientData/>
  </xdr:twoCellAnchor>
  <xdr:twoCellAnchor>
    <xdr:from>
      <xdr:col>3</xdr:col>
      <xdr:colOff>117566</xdr:colOff>
      <xdr:row>3</xdr:row>
      <xdr:rowOff>148047</xdr:rowOff>
    </xdr:from>
    <xdr:to>
      <xdr:col>5</xdr:col>
      <xdr:colOff>39189</xdr:colOff>
      <xdr:row>4</xdr:row>
      <xdr:rowOff>165464</xdr:rowOff>
    </xdr:to>
    <xdr:sp macro="" textlink="">
      <xdr:nvSpPr>
        <xdr:cNvPr id="49" name="TextBox 48">
          <a:extLst>
            <a:ext uri="{FF2B5EF4-FFF2-40B4-BE49-F238E27FC236}">
              <a16:creationId xmlns:a16="http://schemas.microsoft.com/office/drawing/2014/main" id="{D4EF4C64-8ECE-4153-AA55-36B0F90D2B4B}"/>
            </a:ext>
          </a:extLst>
        </xdr:cNvPr>
        <xdr:cNvSpPr txBox="1"/>
      </xdr:nvSpPr>
      <xdr:spPr>
        <a:xfrm>
          <a:off x="1946366" y="696687"/>
          <a:ext cx="1140823"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00"/>
            <a:t>Average</a:t>
          </a:r>
          <a:r>
            <a:rPr lang="en-IN" sz="600" baseline="0"/>
            <a:t> Wait Time</a:t>
          </a:r>
          <a:endParaRPr lang="en-IN" sz="600"/>
        </a:p>
      </xdr:txBody>
    </xdr:sp>
    <xdr:clientData/>
  </xdr:twoCellAnchor>
  <xdr:twoCellAnchor editAs="oneCell">
    <xdr:from>
      <xdr:col>2</xdr:col>
      <xdr:colOff>390745</xdr:colOff>
      <xdr:row>2</xdr:row>
      <xdr:rowOff>130633</xdr:rowOff>
    </xdr:from>
    <xdr:to>
      <xdr:col>3</xdr:col>
      <xdr:colOff>25757</xdr:colOff>
      <xdr:row>3</xdr:row>
      <xdr:rowOff>130630</xdr:rowOff>
    </xdr:to>
    <xdr:pic>
      <xdr:nvPicPr>
        <xdr:cNvPr id="51" name="Graphic 50" descr="Male profile with solid fill">
          <a:extLst>
            <a:ext uri="{FF2B5EF4-FFF2-40B4-BE49-F238E27FC236}">
              <a16:creationId xmlns:a16="http://schemas.microsoft.com/office/drawing/2014/main" id="{55A6FC8C-7DB0-4A6A-A1CC-A23DB5BD0E8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09945" y="496393"/>
          <a:ext cx="244612" cy="182877"/>
        </a:xfrm>
        <a:prstGeom prst="rect">
          <a:avLst/>
        </a:prstGeom>
      </xdr:spPr>
    </xdr:pic>
    <xdr:clientData/>
  </xdr:twoCellAnchor>
  <xdr:twoCellAnchor editAs="oneCell">
    <xdr:from>
      <xdr:col>6</xdr:col>
      <xdr:colOff>409300</xdr:colOff>
      <xdr:row>2</xdr:row>
      <xdr:rowOff>134985</xdr:rowOff>
    </xdr:from>
    <xdr:to>
      <xdr:col>7</xdr:col>
      <xdr:colOff>4349</xdr:colOff>
      <xdr:row>3</xdr:row>
      <xdr:rowOff>165463</xdr:rowOff>
    </xdr:to>
    <xdr:pic>
      <xdr:nvPicPr>
        <xdr:cNvPr id="53" name="Graphic 52" descr="Customer review with solid fill">
          <a:extLst>
            <a:ext uri="{FF2B5EF4-FFF2-40B4-BE49-F238E27FC236}">
              <a16:creationId xmlns:a16="http://schemas.microsoft.com/office/drawing/2014/main" id="{5CA3393D-D3EA-4189-A37A-3048282E99E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4066900" y="500745"/>
          <a:ext cx="213358" cy="213358"/>
        </a:xfrm>
        <a:prstGeom prst="rect">
          <a:avLst/>
        </a:prstGeom>
      </xdr:spPr>
    </xdr:pic>
    <xdr:clientData/>
  </xdr:twoCellAnchor>
  <xdr:twoCellAnchor editAs="oneCell">
    <xdr:from>
      <xdr:col>4</xdr:col>
      <xdr:colOff>422361</xdr:colOff>
      <xdr:row>2</xdr:row>
      <xdr:rowOff>121921</xdr:rowOff>
    </xdr:from>
    <xdr:to>
      <xdr:col>5</xdr:col>
      <xdr:colOff>34829</xdr:colOff>
      <xdr:row>3</xdr:row>
      <xdr:rowOff>161109</xdr:rowOff>
    </xdr:to>
    <xdr:pic>
      <xdr:nvPicPr>
        <xdr:cNvPr id="55" name="Graphic 54" descr="Stopwatch with solid fill">
          <a:extLst>
            <a:ext uri="{FF2B5EF4-FFF2-40B4-BE49-F238E27FC236}">
              <a16:creationId xmlns:a16="http://schemas.microsoft.com/office/drawing/2014/main" id="{8DC96C44-28D0-475B-9125-B5EA82A44C4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860761" y="487681"/>
          <a:ext cx="222068" cy="222068"/>
        </a:xfrm>
        <a:prstGeom prst="rect">
          <a:avLst/>
        </a:prstGeom>
      </xdr:spPr>
    </xdr:pic>
    <xdr:clientData/>
  </xdr:twoCellAnchor>
  <xdr:twoCellAnchor editAs="oneCell">
    <xdr:from>
      <xdr:col>0</xdr:col>
      <xdr:colOff>56605</xdr:colOff>
      <xdr:row>2</xdr:row>
      <xdr:rowOff>126284</xdr:rowOff>
    </xdr:from>
    <xdr:to>
      <xdr:col>1</xdr:col>
      <xdr:colOff>13063</xdr:colOff>
      <xdr:row>15</xdr:row>
      <xdr:rowOff>139336</xdr:rowOff>
    </xdr:to>
    <mc:AlternateContent xmlns:mc="http://schemas.openxmlformats.org/markup-compatibility/2006" xmlns:a14="http://schemas.microsoft.com/office/drawing/2010/main">
      <mc:Choice Requires="a14">
        <xdr:graphicFrame macro="">
          <xdr:nvGraphicFramePr>
            <xdr:cNvPr id="57" name="Date (Month)">
              <a:extLst>
                <a:ext uri="{FF2B5EF4-FFF2-40B4-BE49-F238E27FC236}">
                  <a16:creationId xmlns:a16="http://schemas.microsoft.com/office/drawing/2014/main" id="{A2CDD945-0C0C-4EE5-89C5-D6D6409D0D5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6605" y="492044"/>
              <a:ext cx="566058" cy="2407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605244</xdr:colOff>
      <xdr:row>4</xdr:row>
      <xdr:rowOff>104505</xdr:rowOff>
    </xdr:from>
    <xdr:to>
      <xdr:col>3</xdr:col>
      <xdr:colOff>130628</xdr:colOff>
      <xdr:row>7</xdr:row>
      <xdr:rowOff>30482</xdr:rowOff>
    </xdr:to>
    <xdr:graphicFrame macro="">
      <xdr:nvGraphicFramePr>
        <xdr:cNvPr id="64" name="Chart 63">
          <a:hlinkClick xmlns:r="http://schemas.openxmlformats.org/officeDocument/2006/relationships" r:id="rId8"/>
          <a:extLst>
            <a:ext uri="{FF2B5EF4-FFF2-40B4-BE49-F238E27FC236}">
              <a16:creationId xmlns:a16="http://schemas.microsoft.com/office/drawing/2014/main" id="{7EF01CD3-6CC8-41DB-812F-2B5BDF521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574765</xdr:colOff>
      <xdr:row>4</xdr:row>
      <xdr:rowOff>148043</xdr:rowOff>
    </xdr:from>
    <xdr:to>
      <xdr:col>5</xdr:col>
      <xdr:colOff>152400</xdr:colOff>
      <xdr:row>7</xdr:row>
      <xdr:rowOff>52250</xdr:rowOff>
    </xdr:to>
    <xdr:graphicFrame macro="">
      <xdr:nvGraphicFramePr>
        <xdr:cNvPr id="67" name="Chart 66">
          <a:hlinkClick xmlns:r="http://schemas.openxmlformats.org/officeDocument/2006/relationships" r:id="rId10"/>
          <a:extLst>
            <a:ext uri="{FF2B5EF4-FFF2-40B4-BE49-F238E27FC236}">
              <a16:creationId xmlns:a16="http://schemas.microsoft.com/office/drawing/2014/main" id="{49187195-557E-4F1A-B59A-950A5C23D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39190</xdr:colOff>
      <xdr:row>4</xdr:row>
      <xdr:rowOff>65314</xdr:rowOff>
    </xdr:from>
    <xdr:to>
      <xdr:col>7</xdr:col>
      <xdr:colOff>47896</xdr:colOff>
      <xdr:row>6</xdr:row>
      <xdr:rowOff>152394</xdr:rowOff>
    </xdr:to>
    <xdr:graphicFrame macro="">
      <xdr:nvGraphicFramePr>
        <xdr:cNvPr id="68" name="Chart 67">
          <a:extLst>
            <a:ext uri="{FF2B5EF4-FFF2-40B4-BE49-F238E27FC236}">
              <a16:creationId xmlns:a16="http://schemas.microsoft.com/office/drawing/2014/main" id="{0FE9DF3D-4BDD-4058-B3E8-D10577E46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113211</xdr:colOff>
          <xdr:row>6</xdr:row>
          <xdr:rowOff>169817</xdr:rowOff>
        </xdr:from>
        <xdr:to>
          <xdr:col>6</xdr:col>
          <xdr:colOff>592183</xdr:colOff>
          <xdr:row>9</xdr:row>
          <xdr:rowOff>130701</xdr:rowOff>
        </xdr:to>
        <xdr:pic>
          <xdr:nvPicPr>
            <xdr:cNvPr id="75" name="Picture 74">
              <a:extLst>
                <a:ext uri="{FF2B5EF4-FFF2-40B4-BE49-F238E27FC236}">
                  <a16:creationId xmlns:a16="http://schemas.microsoft.com/office/drawing/2014/main" id="{DF7AE058-0812-4AD2-B2CA-069CAD40E5A4}"/>
                </a:ext>
              </a:extLst>
            </xdr:cNvPr>
            <xdr:cNvPicPr>
              <a:picLocks noChangeAspect="1" noChangeArrowheads="1"/>
              <a:extLst>
                <a:ext uri="{84589F7E-364E-4C9E-8A38-B11213B215E9}">
                  <a14:cameraTool cellRange="'Pivot Report'!$A$45:$D$47" spid="_x0000_s2080"/>
                </a:ext>
              </a:extLst>
            </xdr:cNvPicPr>
          </xdr:nvPicPr>
          <xdr:blipFill>
            <a:blip xmlns:r="http://schemas.openxmlformats.org/officeDocument/2006/relationships" r:embed="rId13"/>
            <a:srcRect/>
            <a:stretch>
              <a:fillRect/>
            </a:stretch>
          </xdr:blipFill>
          <xdr:spPr bwMode="auto">
            <a:xfrm>
              <a:off x="722811" y="1284514"/>
              <a:ext cx="3526972" cy="50952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7</xdr:col>
      <xdr:colOff>74022</xdr:colOff>
      <xdr:row>0</xdr:row>
      <xdr:rowOff>8710</xdr:rowOff>
    </xdr:from>
    <xdr:to>
      <xdr:col>9</xdr:col>
      <xdr:colOff>174171</xdr:colOff>
      <xdr:row>5</xdr:row>
      <xdr:rowOff>178526</xdr:rowOff>
    </xdr:to>
    <xdr:graphicFrame macro="">
      <xdr:nvGraphicFramePr>
        <xdr:cNvPr id="35" name="Chart 34">
          <a:extLst>
            <a:ext uri="{FF2B5EF4-FFF2-40B4-BE49-F238E27FC236}">
              <a16:creationId xmlns:a16="http://schemas.microsoft.com/office/drawing/2014/main" id="{55242597-5272-4D6F-8F4B-D1BFB30C4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287381</xdr:colOff>
      <xdr:row>5</xdr:row>
      <xdr:rowOff>69670</xdr:rowOff>
    </xdr:from>
    <xdr:to>
      <xdr:col>8</xdr:col>
      <xdr:colOff>557348</xdr:colOff>
      <xdr:row>6</xdr:row>
      <xdr:rowOff>95794</xdr:rowOff>
    </xdr:to>
    <xdr:sp macro="" textlink="">
      <xdr:nvSpPr>
        <xdr:cNvPr id="10" name="TextBox 9">
          <a:extLst>
            <a:ext uri="{FF2B5EF4-FFF2-40B4-BE49-F238E27FC236}">
              <a16:creationId xmlns:a16="http://schemas.microsoft.com/office/drawing/2014/main" id="{2CAB1706-87E5-4635-811A-E898979F5898}"/>
            </a:ext>
          </a:extLst>
        </xdr:cNvPr>
        <xdr:cNvSpPr txBox="1"/>
      </xdr:nvSpPr>
      <xdr:spPr>
        <a:xfrm>
          <a:off x="4563290" y="1001487"/>
          <a:ext cx="879567" cy="209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
            <a:t>Patient Attend Stattus</a:t>
          </a:r>
        </a:p>
      </xdr:txBody>
    </xdr:sp>
    <xdr:clientData/>
  </xdr:twoCellAnchor>
  <xdr:twoCellAnchor>
    <xdr:from>
      <xdr:col>9</xdr:col>
      <xdr:colOff>195942</xdr:colOff>
      <xdr:row>0</xdr:row>
      <xdr:rowOff>60960</xdr:rowOff>
    </xdr:from>
    <xdr:to>
      <xdr:col>11</xdr:col>
      <xdr:colOff>283027</xdr:colOff>
      <xdr:row>6</xdr:row>
      <xdr:rowOff>8709</xdr:rowOff>
    </xdr:to>
    <xdr:graphicFrame macro="">
      <xdr:nvGraphicFramePr>
        <xdr:cNvPr id="36" name="Chart 35">
          <a:extLst>
            <a:ext uri="{FF2B5EF4-FFF2-40B4-BE49-F238E27FC236}">
              <a16:creationId xmlns:a16="http://schemas.microsoft.com/office/drawing/2014/main" id="{01258F71-74E4-4446-9791-F125D5332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391884</xdr:colOff>
      <xdr:row>5</xdr:row>
      <xdr:rowOff>74024</xdr:rowOff>
    </xdr:from>
    <xdr:to>
      <xdr:col>11</xdr:col>
      <xdr:colOff>69667</xdr:colOff>
      <xdr:row>6</xdr:row>
      <xdr:rowOff>65315</xdr:rowOff>
    </xdr:to>
    <xdr:sp macro="" textlink="">
      <xdr:nvSpPr>
        <xdr:cNvPr id="11" name="TextBox 10">
          <a:extLst>
            <a:ext uri="{FF2B5EF4-FFF2-40B4-BE49-F238E27FC236}">
              <a16:creationId xmlns:a16="http://schemas.microsoft.com/office/drawing/2014/main" id="{800214AB-95FB-4B9A-9B5B-AC60236E5077}"/>
            </a:ext>
          </a:extLst>
        </xdr:cNvPr>
        <xdr:cNvSpPr txBox="1"/>
      </xdr:nvSpPr>
      <xdr:spPr>
        <a:xfrm>
          <a:off x="5886993" y="1005841"/>
          <a:ext cx="896983" cy="174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
              <a:solidFill>
                <a:schemeClr val="dk1"/>
              </a:solidFill>
              <a:latin typeface="+mn-lt"/>
              <a:ea typeface="+mn-ea"/>
              <a:cs typeface="+mn-cs"/>
            </a:rPr>
            <a:t>Gender</a:t>
          </a:r>
          <a:r>
            <a:rPr lang="en-IN" sz="600">
              <a:solidFill>
                <a:schemeClr val="dk1"/>
              </a:solidFill>
            </a:rPr>
            <a:t> Wise Analysis</a:t>
          </a:r>
        </a:p>
      </xdr:txBody>
    </xdr:sp>
    <xdr:clientData/>
  </xdr:twoCellAnchor>
  <xdr:twoCellAnchor>
    <xdr:from>
      <xdr:col>7</xdr:col>
      <xdr:colOff>74024</xdr:colOff>
      <xdr:row>6</xdr:row>
      <xdr:rowOff>174172</xdr:rowOff>
    </xdr:from>
    <xdr:to>
      <xdr:col>11</xdr:col>
      <xdr:colOff>274320</xdr:colOff>
      <xdr:row>15</xdr:row>
      <xdr:rowOff>0</xdr:rowOff>
    </xdr:to>
    <xdr:graphicFrame macro="">
      <xdr:nvGraphicFramePr>
        <xdr:cNvPr id="39" name="Chart 38">
          <a:extLst>
            <a:ext uri="{FF2B5EF4-FFF2-40B4-BE49-F238E27FC236}">
              <a16:creationId xmlns:a16="http://schemas.microsoft.com/office/drawing/2014/main" id="{F3FCBC7F-3DEC-4CDA-AB21-40DBB08360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418010</xdr:colOff>
      <xdr:row>14</xdr:row>
      <xdr:rowOff>95794</xdr:rowOff>
    </xdr:from>
    <xdr:to>
      <xdr:col>10</xdr:col>
      <xdr:colOff>444136</xdr:colOff>
      <xdr:row>15</xdr:row>
      <xdr:rowOff>104503</xdr:rowOff>
    </xdr:to>
    <xdr:sp macro="" textlink="">
      <xdr:nvSpPr>
        <xdr:cNvPr id="13" name="TextBox 12">
          <a:extLst>
            <a:ext uri="{FF2B5EF4-FFF2-40B4-BE49-F238E27FC236}">
              <a16:creationId xmlns:a16="http://schemas.microsoft.com/office/drawing/2014/main" id="{15E5A244-9216-4267-940F-09D3355960F9}"/>
            </a:ext>
          </a:extLst>
        </xdr:cNvPr>
        <xdr:cNvSpPr txBox="1"/>
      </xdr:nvSpPr>
      <xdr:spPr>
        <a:xfrm>
          <a:off x="4693919" y="2673531"/>
          <a:ext cx="1854926" cy="191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a:t>No.</a:t>
          </a:r>
          <a:r>
            <a:rPr lang="en-IN" sz="700" baseline="0"/>
            <a:t> of</a:t>
          </a:r>
          <a:r>
            <a:rPr lang="en-IN" sz="700"/>
            <a:t> Patient by Department</a:t>
          </a:r>
          <a:r>
            <a:rPr lang="en-IN" sz="700" baseline="0"/>
            <a:t> Referal</a:t>
          </a:r>
          <a:endParaRPr lang="en-IN" sz="700"/>
        </a:p>
      </xdr:txBody>
    </xdr:sp>
    <xdr:clientData/>
  </xdr:twoCellAnchor>
  <xdr:twoCellAnchor>
    <xdr:from>
      <xdr:col>1</xdr:col>
      <xdr:colOff>91440</xdr:colOff>
      <xdr:row>10</xdr:row>
      <xdr:rowOff>17417</xdr:rowOff>
    </xdr:from>
    <xdr:to>
      <xdr:col>6</xdr:col>
      <xdr:colOff>583473</xdr:colOff>
      <xdr:row>15</xdr:row>
      <xdr:rowOff>8709</xdr:rowOff>
    </xdr:to>
    <xdr:graphicFrame macro="">
      <xdr:nvGraphicFramePr>
        <xdr:cNvPr id="45" name="Chart 44">
          <a:extLst>
            <a:ext uri="{FF2B5EF4-FFF2-40B4-BE49-F238E27FC236}">
              <a16:creationId xmlns:a16="http://schemas.microsoft.com/office/drawing/2014/main" id="{B536FAB3-F779-493D-88CC-A2D5F4470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570412</xdr:colOff>
      <xdr:row>14</xdr:row>
      <xdr:rowOff>104504</xdr:rowOff>
    </xdr:from>
    <xdr:to>
      <xdr:col>4</xdr:col>
      <xdr:colOff>570411</xdr:colOff>
      <xdr:row>15</xdr:row>
      <xdr:rowOff>95795</xdr:rowOff>
    </xdr:to>
    <xdr:sp macro="" textlink="">
      <xdr:nvSpPr>
        <xdr:cNvPr id="14" name="TextBox 13">
          <a:extLst>
            <a:ext uri="{FF2B5EF4-FFF2-40B4-BE49-F238E27FC236}">
              <a16:creationId xmlns:a16="http://schemas.microsoft.com/office/drawing/2014/main" id="{5D0C4B35-248C-43B6-82B6-9E1B3D11C1E7}"/>
            </a:ext>
          </a:extLst>
        </xdr:cNvPr>
        <xdr:cNvSpPr txBox="1"/>
      </xdr:nvSpPr>
      <xdr:spPr>
        <a:xfrm>
          <a:off x="1789612" y="2682241"/>
          <a:ext cx="1219199" cy="174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a:t>No.</a:t>
          </a:r>
          <a:r>
            <a:rPr lang="en-IN" sz="700" baseline="0"/>
            <a:t> of Patient by Age group</a:t>
          </a:r>
          <a:endParaRPr lang="en-IN" sz="700"/>
        </a:p>
      </xdr:txBody>
    </xdr:sp>
    <xdr:clientData/>
  </xdr:twoCellAnchor>
  <xdr:twoCellAnchor editAs="oneCell">
    <xdr:from>
      <xdr:col>5</xdr:col>
      <xdr:colOff>296090</xdr:colOff>
      <xdr:row>0</xdr:row>
      <xdr:rowOff>34834</xdr:rowOff>
    </xdr:from>
    <xdr:to>
      <xdr:col>7</xdr:col>
      <xdr:colOff>42006</xdr:colOff>
      <xdr:row>2</xdr:row>
      <xdr:rowOff>74023</xdr:rowOff>
    </xdr:to>
    <mc:AlternateContent xmlns:mc="http://schemas.openxmlformats.org/markup-compatibility/2006">
      <mc:Choice xmlns:a14="http://schemas.microsoft.com/office/drawing/2010/main" Requires="a14">
        <xdr:graphicFrame macro="">
          <xdr:nvGraphicFramePr>
            <xdr:cNvPr id="46" name="Date (Year)">
              <a:extLst>
                <a:ext uri="{FF2B5EF4-FFF2-40B4-BE49-F238E27FC236}">
                  <a16:creationId xmlns:a16="http://schemas.microsoft.com/office/drawing/2014/main" id="{34A8EA2B-7AB1-4F51-8693-6068D2085C9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344090" y="34834"/>
              <a:ext cx="973825" cy="404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16</xdr:col>
      <xdr:colOff>297180</xdr:colOff>
      <xdr:row>20</xdr:row>
      <xdr:rowOff>167640</xdr:rowOff>
    </xdr:to>
    <xdr:graphicFrame macro="">
      <xdr:nvGraphicFramePr>
        <xdr:cNvPr id="3" name="Chart 2">
          <a:extLst>
            <a:ext uri="{FF2B5EF4-FFF2-40B4-BE49-F238E27FC236}">
              <a16:creationId xmlns:a16="http://schemas.microsoft.com/office/drawing/2014/main" id="{4A3AA39F-053E-414C-8EF4-F1F85F012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0.00505</cdr:x>
      <cdr:y>0.01395</cdr:y>
    </cdr:from>
    <cdr:to>
      <cdr:x>0.03614</cdr:x>
      <cdr:y>0.09972</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2847DFA-F799-4FF6-B7A3-6272F508105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lum bright="70000" contrast="-70000"/>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12420" cy="31242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1</xdr:row>
      <xdr:rowOff>0</xdr:rowOff>
    </xdr:from>
    <xdr:to>
      <xdr:col>17</xdr:col>
      <xdr:colOff>99060</xdr:colOff>
      <xdr:row>19</xdr:row>
      <xdr:rowOff>0</xdr:rowOff>
    </xdr:to>
    <xdr:graphicFrame macro="">
      <xdr:nvGraphicFramePr>
        <xdr:cNvPr id="3" name="Chart 2">
          <a:extLst>
            <a:ext uri="{FF2B5EF4-FFF2-40B4-BE49-F238E27FC236}">
              <a16:creationId xmlns:a16="http://schemas.microsoft.com/office/drawing/2014/main" id="{D121D662-F146-48D5-BE27-0C8ABD2BC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0.97014</cdr:x>
      <cdr:y>0</cdr:y>
    </cdr:from>
    <cdr:to>
      <cdr:x>1</cdr:x>
      <cdr:y>0.09491</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18412EC-080F-40EA-A55B-4A2E028E155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lum bright="70000" contrast="-70000"/>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0149840" y="0"/>
          <a:ext cx="312420" cy="31242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1</xdr:row>
      <xdr:rowOff>0</xdr:rowOff>
    </xdr:from>
    <xdr:to>
      <xdr:col>17</xdr:col>
      <xdr:colOff>403860</xdr:colOff>
      <xdr:row>17</xdr:row>
      <xdr:rowOff>0</xdr:rowOff>
    </xdr:to>
    <xdr:graphicFrame macro="">
      <xdr:nvGraphicFramePr>
        <xdr:cNvPr id="3" name="Chart 2">
          <a:extLst>
            <a:ext uri="{FF2B5EF4-FFF2-40B4-BE49-F238E27FC236}">
              <a16:creationId xmlns:a16="http://schemas.microsoft.com/office/drawing/2014/main" id="{8904E89C-2AD0-40E0-8C08-63870D403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0.00354</cdr:x>
      <cdr:y>0</cdr:y>
    </cdr:from>
    <cdr:to>
      <cdr:x>0.03255</cdr:x>
      <cdr:y>0.10677</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FDA72E5-95CC-4BD7-8F2A-BE549BD4DE7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8100" y="0"/>
          <a:ext cx="312420" cy="31242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hukla" refreshedDate="46195.777414583332" createdVersion="5" refreshedVersion="7" minRefreshableVersion="3" recordCount="0" supportSubquery="1" supportAdvancedDrill="1" xr:uid="{C1236134-7CEA-4362-A394-7A1CD4D52AB5}">
  <cacheSource type="external" connectionId="3"/>
  <cacheFields count="2">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hukla" refreshedDate="46195.777414930555" createdVersion="5" refreshedVersion="7" minRefreshableVersion="3" recordCount="0" supportSubquery="1" supportAdvancedDrill="1" xr:uid="{0DF69157-FBBF-419C-BA15-93CB610830A0}">
  <cacheSource type="external" connectionId="3"/>
  <cacheFields count="3">
    <cacheField name="[Measures].[Distinct Count of Patient Id]" caption="Distinct Count of Patient Id" numFmtId="0" hierarchy="23"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hukla" refreshedDate="46195.777415393517" createdVersion="5" refreshedVersion="7" minRefreshableVersion="3" recordCount="0" supportSubquery="1" supportAdvancedDrill="1" xr:uid="{33C1FD5A-2590-4332-A123-DF14EA99EE90}">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Measures].[Count of Department Referral]" caption="Count of Department Referral"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hukla" refreshedDate="46195.777415972225" createdVersion="5" refreshedVersion="7" minRefreshableVersion="3" recordCount="0" supportSubquery="1" supportAdvancedDrill="1" xr:uid="{AEFAAB1F-50FC-4AA8-BA21-F7D2D860ADCC}">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5" level="1">
      <sharedItems count="8">
        <s v="0-09"/>
        <s v="10-19"/>
        <s v="20-29"/>
        <s v="30-39"/>
        <s v="40-49"/>
        <s v="50-59"/>
        <s v="60-69"/>
        <s v="70-79"/>
      </sharedItems>
    </cacheField>
    <cacheField name="[Measures].[Count of Age Group]" caption="Count of Age Group"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hukla" refreshedDate="46195.777416319441" createdVersion="5" refreshedVersion="7" minRefreshableVersion="3" recordCount="0" supportSubquery="1" supportAdvancedDrill="1" xr:uid="{7FC15DB6-D566-40EB-9254-8E5DA0EF4CFD}">
  <cacheSource type="external" connectionId="3"/>
  <cacheFields count="3">
    <cacheField name="[Measures].[Average of Patient Waittime]" caption="Average of Patient Waittime"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hukla" refreshedDate="46195.777416550925" createdVersion="5" refreshedVersion="7" minRefreshableVersion="3" recordCount="0" supportSubquery="1" supportAdvancedDrill="1" xr:uid="{1606AA83-4A17-46AA-94CE-7DF3276CCEBD}">
  <cacheSource type="external" connectionId="3"/>
  <cacheFields count="3">
    <cacheField name="[Measures].[Average of Patient Satisfaction Score]" caption="Average of Patient Satisfaction Scor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hukla" refreshedDate="46195.777417013887" createdVersion="5" refreshedVersion="7" minRefreshableVersion="3" recordCount="0" supportSubquery="1" supportAdvancedDrill="1" xr:uid="{DA2F8FA6-3510-4CCC-88F5-1FC187709162}">
  <cacheSource type="external" connectionId="3"/>
  <cacheFields count="4">
    <cacheField name="[Measures].[Distinct Count of Patient Id]" caption="Distinct Count of Patient Id" numFmtId="0" hierarchy="23"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hukla" refreshedDate="46195.777417592595" createdVersion="5" refreshedVersion="7" minRefreshableVersion="3" recordCount="0" supportSubquery="1" supportAdvancedDrill="1" xr:uid="{4D504828-D95A-403A-B5DA-EC4E26C634B6}">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5"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hukla" refreshedDate="46195.777418171296" createdVersion="5" refreshedVersion="7" minRefreshableVersion="3" recordCount="0" supportSubquery="1" supportAdvancedDrill="1" xr:uid="{4145BEED-DBC5-44CE-87DB-BCE9F8C982D6}">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hukla" refreshedDate="46195.777418865742" createdVersion="5" refreshedVersion="7" minRefreshableVersion="3" recordCount="0" supportSubquery="1" supportAdvancedDrill="1" xr:uid="{3021101F-CD22-439B-9548-63DCB87DF310}">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8" level="32767"/>
    <cacheField name="[Hospital Emergency Room Data].[Patient Admission Flag].[Patient Admission Flag]" caption="Patient Admission Flag" numFmtId="0" hierarchy="12" level="1">
      <sharedItems count="2">
        <s v="Admitted"/>
        <s v="Not Admitted"/>
      </sharedItems>
    </cacheField>
    <cacheField name="[Calenda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hukla" refreshedDate="46195.777419328704" createdVersion="5" refreshedVersion="7" minRefreshableVersion="3" recordCount="0" supportSubquery="1" supportAdvancedDrill="1" xr:uid="{A77DF4A4-ADD2-40DF-B3E5-E1CE8F8802DB}">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6" level="1">
      <sharedItems count="2">
        <s v="Delay"/>
        <s v="Ontime"/>
      </sharedItems>
    </cacheField>
    <cacheField name="[Measures].[Count of Patient Attend Status]" caption="Count of Patient Attend Status" numFmtId="0" hierarchy="29"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hukla" refreshedDate="46195.777419907405" createdVersion="5" refreshedVersion="7" minRefreshableVersion="3" recordCount="0" supportSubquery="1" supportAdvancedDrill="1" xr:uid="{94762B38-3283-44AF-ABAE-4BF2078616B8}">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8" level="1">
      <sharedItems count="2">
        <s v="Female"/>
        <s v="Male"/>
      </sharedItems>
    </cacheField>
    <cacheField name="[Measures].[Count of Patient Gender]" caption="Count of Patient Gender"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hukla" refreshedDate="46195.76752789352" createdVersion="3" refreshedVersion="7" minRefreshableVersion="3" recordCount="0" supportSubquery="1" supportAdvancedDrill="1" xr:uid="{00C50D4D-0DFE-4BC0-898E-962DE8711DBF}">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2252262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EAAE26-4A78-46A5-9D7D-F6596326A9E0}" name="PivotTable12" cacheId="910" applyNumberFormats="0" applyBorderFormats="0" applyFontFormats="0" applyPatternFormats="0" applyAlignmentFormats="0" applyWidthHeightFormats="1" dataCaption="Values" tag="f7d481e1-ee62-4e3b-9ae5-10abf1e292a2" updatedVersion="7" minRefreshableVersion="3" subtotalHiddenItems="1" itemPrintTitles="1" createdVersion="5" indent="0" outline="1" outlineData="1" multipleFieldFilters="0" chartFormat="46">
  <location ref="D62:D64"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2">
    <format dxfId="226">
      <pivotArea outline="0" collapsedLevelsAreSubtotals="1" fieldPosition="0"/>
    </format>
    <format dxfId="227">
      <pivotArea grandRow="1"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D209C9-434C-456B-91C3-E2341E7E8947}" name="PivotTable11" cacheId="919" applyNumberFormats="0" applyBorderFormats="0" applyFontFormats="0" applyPatternFormats="0" applyAlignmentFormats="0" applyWidthHeightFormats="1" dataCaption="Values" tag="f7d481e1-ee62-4e3b-9ae5-10abf1e292a2" updatedVersion="7" minRefreshableVersion="3" subtotalHiddenItems="1" itemPrintTitles="1" createdVersion="5" indent="0" outline="1" outlineData="1" multipleFieldFilters="0" chartFormat="44">
  <location ref="E50:F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229">
      <pivotArea outline="0" collapsedLevelsAreSubtotals="1" fieldPosition="0"/>
    </format>
    <format dxfId="230">
      <pivotArea grandRow="1" outline="0" collapsedLevelsAreSubtotals="1" fieldPosition="0"/>
    </format>
    <format dxfId="228">
      <pivotArea collapsedLevelsAreSubtotals="1" fieldPosition="0">
        <references count="1">
          <reference field="1" count="0"/>
        </references>
      </pivotArea>
    </format>
  </formats>
  <chartFormats count="1">
    <chartFormat chart="4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DA3BCC-F21F-4903-A44B-5277C81D7349}" name="PivotTable10" cacheId="916" applyNumberFormats="0" applyBorderFormats="0" applyFontFormats="0" applyPatternFormats="0" applyAlignmentFormats="0" applyWidthHeightFormats="1" dataCaption="Values" tag="f7d481e1-ee62-4e3b-9ae5-10abf1e292a2" updatedVersion="7" minRefreshableVersion="3" subtotalHiddenItems="1" itemPrintTitles="1" createdVersion="5" indent="0" outline="1" outlineData="1" multipleFieldFilters="0" chartFormat="46">
  <location ref="A61:B7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3">
    <format dxfId="232">
      <pivotArea outline="0" collapsedLevelsAreSubtotals="1" fieldPosition="0"/>
    </format>
    <format dxfId="233">
      <pivotArea grandRow="1" outline="0" collapsedLevelsAreSubtotals="1" fieldPosition="0"/>
    </format>
    <format dxfId="231">
      <pivotArea collapsedLevelsAreSubtotals="1" fieldPosition="0">
        <references count="1">
          <reference field="1" count="0"/>
        </references>
      </pivotArea>
    </format>
  </formats>
  <chartFormats count="1">
    <chartFormat chart="4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E7F7E2-DF1F-44DE-A878-7D3369940785}" name="PivotTable9" cacheId="943" applyNumberFormats="0" applyBorderFormats="0" applyFontFormats="0" applyPatternFormats="0" applyAlignmentFormats="0" applyWidthHeightFormats="1" dataCaption="Values" tag="f7d481e1-ee62-4e3b-9ae5-10abf1e292a2" updatedVersion="7" minRefreshableVersion="3" subtotalHiddenItems="1" itemPrintTitles="1" createdVersion="5" indent="0" outline="1" outlineData="1" multipleFieldFilters="0" chartFormat="42">
  <location ref="A55:B5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3">
    <format dxfId="235">
      <pivotArea outline="0" collapsedLevelsAreSubtotals="1" fieldPosition="0"/>
    </format>
    <format dxfId="236">
      <pivotArea grandRow="1" outline="0" collapsedLevelsAreSubtotals="1" fieldPosition="0"/>
    </format>
    <format dxfId="234">
      <pivotArea collapsedLevelsAreSubtotals="1" fieldPosition="0">
        <references count="1">
          <reference field="1" count="0"/>
        </references>
      </pivotArea>
    </format>
  </formats>
  <chartFormats count="3">
    <chartFormat chart="41" format="4" series="1">
      <pivotArea type="data" outline="0" fieldPosition="0">
        <references count="1">
          <reference field="4294967294" count="1" selected="0">
            <x v="0"/>
          </reference>
        </references>
      </pivotArea>
    </chartFormat>
    <chartFormat chart="41" format="5">
      <pivotArea type="data" outline="0" fieldPosition="0">
        <references count="2">
          <reference field="4294967294" count="1" selected="0">
            <x v="0"/>
          </reference>
          <reference field="1" count="1" selected="0">
            <x v="0"/>
          </reference>
        </references>
      </pivotArea>
    </chartFormat>
    <chartFormat chart="41"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6BDDCB-B766-4DE5-9B50-86138AA83716}" name="PivotTable8" cacheId="940" applyNumberFormats="0" applyBorderFormats="0" applyFontFormats="0" applyPatternFormats="0" applyAlignmentFormats="0" applyWidthHeightFormats="1" dataCaption="Values" tag="f7d481e1-ee62-4e3b-9ae5-10abf1e292a2" updatedVersion="7" minRefreshableVersion="3" subtotalHiddenItems="1" itemPrintTitles="1" createdVersion="5" indent="0" outline="1" outlineData="1" multipleFieldFilters="0" chartFormat="38">
  <location ref="A50:B5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238">
      <pivotArea outline="0" collapsedLevelsAreSubtotals="1" fieldPosition="0"/>
    </format>
    <format dxfId="239">
      <pivotArea grandRow="1" outline="0" collapsedLevelsAreSubtotals="1" fieldPosition="0"/>
    </format>
    <format dxfId="237">
      <pivotArea collapsedLevelsAreSubtotals="1" fieldPosition="0">
        <references count="1">
          <reference field="1" count="0"/>
        </references>
      </pivotArea>
    </format>
  </formats>
  <chartFormats count="3">
    <chartFormat chart="37" format="4" series="1">
      <pivotArea type="data" outline="0" fieldPosition="0">
        <references count="1">
          <reference field="4294967294" count="1" selected="0">
            <x v="0"/>
          </reference>
        </references>
      </pivotArea>
    </chartFormat>
    <chartFormat chart="37" format="5">
      <pivotArea type="data" outline="0" fieldPosition="0">
        <references count="2">
          <reference field="4294967294" count="1" selected="0">
            <x v="0"/>
          </reference>
          <reference field="1" count="1" selected="0">
            <x v="0"/>
          </reference>
        </references>
      </pivotArea>
    </chartFormat>
    <chartFormat chart="37"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58572C-38E1-48AC-84F5-BE563F5E6E22}" name="PivotTable6" cacheId="934" applyNumberFormats="0" applyBorderFormats="0" applyFontFormats="0" applyPatternFormats="0" applyAlignmentFormats="0" applyWidthHeightFormats="1" dataCaption="Values" tag="d7194d25-1b9d-4369-9727-622dbf0099f5" updatedVersion="7" minRefreshableVersion="3" subtotalHiddenItems="1" itemPrintTitles="1" createdVersion="5" indent="0" outline="1" outlineData="1" multipleFieldFilters="0" chartFormat="37">
  <location ref="J4:K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240">
      <pivotArea outline="0" collapsedLevelsAreSubtotals="1" fieldPosition="0"/>
    </format>
  </formats>
  <chartFormats count="5">
    <chartFormat chart="28"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111E81-C611-4F4D-956A-C68DF8998D9A}" name="PivotTable4" cacheId="928" applyNumberFormats="0" applyBorderFormats="0" applyFontFormats="0" applyPatternFormats="0" applyAlignmentFormats="0" applyWidthHeightFormats="1" dataCaption="Values" tag="2b074e71-9136-4f46-bcc2-4854ff626de5" updatedVersion="7" minRefreshableVersion="3" subtotalHiddenItems="1" itemPrintTitles="1" createdVersion="5" indent="0" outline="1" outlineData="1" multipleFieldFilters="0" chartFormat="16">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8" format="2"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8E2214-6BF2-42B7-90BB-FAC0319A021E}" name="PivotTable3" cacheId="925" applyNumberFormats="0" applyBorderFormats="0" applyFontFormats="0" applyPatternFormats="0" applyAlignmentFormats="0" applyWidthHeightFormats="1" dataCaption="Values" tag="2bf9c510-7e4b-4718-8259-fea1842a3e11" updatedVersion="7"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41">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44A009-BE45-460A-8C93-B34BCD5108A5}" name="PivotTable2" cacheId="922" applyNumberFormats="0" applyBorderFormats="0" applyFontFormats="0" applyPatternFormats="0" applyAlignmentFormats="0" applyWidthHeightFormats="1" dataCaption="Values" tag="09697a9d-b953-478f-837d-da34a27fa1e9" updatedVersion="7"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42">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0A7624-6B3C-4F79-9E46-3B09AE82D92E}" name="PivotTable7" cacheId="937" applyNumberFormats="0" applyBorderFormats="0" applyFontFormats="0" applyPatternFormats="0" applyAlignmentFormats="0" applyWidthHeightFormats="1" dataCaption="Values" tag="f7d481e1-ee62-4e3b-9ae5-10abf1e292a2" updatedVersion="7" minRefreshableVersion="3" subtotalHiddenItems="1" itemPrintTitles="1" createdVersion="5" indent="0" outline="1" outlineData="1" multipleFieldFilters="0" chartFormat="34">
  <location ref="A38:C4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246">
      <pivotArea outline="0" collapsedLevelsAreSubtotals="1" fieldPosition="0"/>
    </format>
    <format dxfId="245">
      <pivotArea grandRow="1" outline="0" collapsedLevelsAreSubtotals="1" fieldPosition="0"/>
    </format>
    <format dxfId="244">
      <pivotArea collapsedLevelsAreSubtotals="1" fieldPosition="0">
        <references count="1">
          <reference field="2" count="0"/>
        </references>
      </pivotArea>
    </format>
    <format dxfId="243">
      <pivotArea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1"/>
          </reference>
          <reference field="2" count="1" selected="0">
            <x v="1"/>
          </reference>
        </references>
      </pivotArea>
    </chartFormat>
    <chartFormat chart="0" format="5">
      <pivotArea type="data" outline="0" fieldPosition="0">
        <references count="2">
          <reference field="4294967294" count="1" selected="0">
            <x v="1"/>
          </reference>
          <reference field="2"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5DB1DB0-5EB3-45B8-B97C-5133E7B5A018}" name="PivotTable1" cacheId="913" applyNumberFormats="0" applyBorderFormats="0" applyFontFormats="0" applyPatternFormats="0" applyAlignmentFormats="0" applyWidthHeightFormats="1" dataCaption="Values" tag="05c7ef43-c33d-40e6-9d36-27475be14b03" updatedVersion="7"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B27A116-EA5A-49ED-8D3C-8B5CF631512D}" name="PivotTable5" cacheId="931" applyNumberFormats="0" applyBorderFormats="0" applyFontFormats="0" applyPatternFormats="0" applyAlignmentFormats="0" applyWidthHeightFormats="1" dataCaption="Values" tag="ace125a3-bfea-4b88-9046-b104f75d6cf1" updatedVersion="7" minRefreshableVersion="3" subtotalHiddenItems="1" itemPrintTitles="1" createdVersion="5" indent="0" outline="1" outlineData="1" multipleFieldFilters="0" chartFormat="27">
  <location ref="G4:H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247">
      <pivotArea outline="0" collapsedLevelsAreSubtotals="1" fieldPosition="0"/>
    </format>
  </formats>
  <chartFormats count="2">
    <chartFormat chart="20" format="2"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2EAB08C-09B6-4B3E-B468-2C72AB252434}"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225226285">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nd="1"/>
              <i n="[Calendar_Table].[Date (Month)].&amp;[Dec]" c="Dec" nd="1"/>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68FBC726-9729-40EA-AC85-B9A18D59A4FB}"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25226285">
      <levels count="2">
        <level uniqueName="[Calendar_Table].[Date (Year)].[(All)]" sourceCaption="(All)" count="0"/>
        <level uniqueName="[Calendar_Table].[Date (Year)].[Date (Year)]" sourceCaption="Date (Year)" count="2">
          <ranges>
            <range startItem="0">
              <i n="[Calendar_Table].[Date (Year)].&amp;[2024]" c="2024"/>
              <i n="[Calendar_Table].[Date (Year)].&amp;[2023]" c="2023" nd="1"/>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8B9C472-6076-481C-906A-9FB963EA96EE}" cache="Slicer_Date__Month" caption="Date (Month)" showCaption="0" level="1" style="My Style" rowHeight="129600"/>
  <slicer name="Date (Year)" xr10:uid="{BE83851C-9B27-4DB0-9ED1-7B7256F0852E}" cache="Slicer_Date__Year" caption="Date (Year)" columnCount="2"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D829C-7163-40F7-AFCA-EBA1089EA986}">
  <dimension ref="A3:K70"/>
  <sheetViews>
    <sheetView tabSelected="1" zoomScale="140" zoomScaleNormal="140" workbookViewId="0">
      <selection activeCell="H18" sqref="H18"/>
    </sheetView>
  </sheetViews>
  <sheetFormatPr defaultRowHeight="14.4" x14ac:dyDescent="0.3"/>
  <cols>
    <col min="1" max="1" width="16.21875" customWidth="1"/>
    <col min="2" max="2" width="14.6640625" customWidth="1"/>
    <col min="3" max="3" width="16" customWidth="1"/>
    <col min="4" max="4" width="23.88671875" bestFit="1" customWidth="1"/>
    <col min="5" max="5" width="24.21875" bestFit="1" customWidth="1"/>
    <col min="8" max="8" width="24.21875" bestFit="1" customWidth="1"/>
    <col min="11" max="11" width="25.5546875" bestFit="1" customWidth="1"/>
  </cols>
  <sheetData>
    <row r="3" spans="1:11" x14ac:dyDescent="0.3">
      <c r="A3" t="s">
        <v>1</v>
      </c>
      <c r="D3" t="s">
        <v>40</v>
      </c>
      <c r="G3" t="s">
        <v>41</v>
      </c>
      <c r="J3" t="s">
        <v>43</v>
      </c>
    </row>
    <row r="4" spans="1:11" x14ac:dyDescent="0.3">
      <c r="A4" t="s">
        <v>0</v>
      </c>
      <c r="D4" s="2" t="s">
        <v>7</v>
      </c>
      <c r="E4" t="s">
        <v>0</v>
      </c>
      <c r="G4" s="2" t="s">
        <v>7</v>
      </c>
      <c r="H4" t="s">
        <v>2</v>
      </c>
      <c r="J4" s="2" t="s">
        <v>7</v>
      </c>
      <c r="K4" t="s">
        <v>3</v>
      </c>
    </row>
    <row r="5" spans="1:11" x14ac:dyDescent="0.3">
      <c r="A5" s="1">
        <v>513</v>
      </c>
      <c r="D5" s="8" t="s">
        <v>8</v>
      </c>
      <c r="E5" s="1">
        <v>19</v>
      </c>
      <c r="G5" s="8" t="s">
        <v>8</v>
      </c>
      <c r="H5" s="3">
        <v>37.789473684210527</v>
      </c>
      <c r="J5" s="8" t="s">
        <v>8</v>
      </c>
      <c r="K5" s="3">
        <v>6.666666666666667</v>
      </c>
    </row>
    <row r="6" spans="1:11" x14ac:dyDescent="0.3">
      <c r="D6" s="8" t="s">
        <v>9</v>
      </c>
      <c r="E6" s="1">
        <v>14</v>
      </c>
      <c r="G6" s="8" t="s">
        <v>9</v>
      </c>
      <c r="H6" s="3">
        <v>38.214285714285715</v>
      </c>
      <c r="J6" s="8" t="s">
        <v>9</v>
      </c>
      <c r="K6" s="3">
        <v>3.5</v>
      </c>
    </row>
    <row r="7" spans="1:11" x14ac:dyDescent="0.3">
      <c r="D7" s="8" t="s">
        <v>10</v>
      </c>
      <c r="E7" s="1">
        <v>13</v>
      </c>
      <c r="G7" s="8" t="s">
        <v>10</v>
      </c>
      <c r="H7" s="3">
        <v>40.92307692307692</v>
      </c>
      <c r="J7" s="8" t="s">
        <v>10</v>
      </c>
      <c r="K7" s="3">
        <v>4.5</v>
      </c>
    </row>
    <row r="8" spans="1:11" x14ac:dyDescent="0.3">
      <c r="A8" t="s">
        <v>2</v>
      </c>
      <c r="D8" s="8" t="s">
        <v>11</v>
      </c>
      <c r="E8" s="1">
        <v>22</v>
      </c>
      <c r="G8" s="8" t="s">
        <v>11</v>
      </c>
      <c r="H8" s="3">
        <v>34.5</v>
      </c>
      <c r="J8" s="8" t="s">
        <v>11</v>
      </c>
      <c r="K8" s="3">
        <v>4.8</v>
      </c>
    </row>
    <row r="9" spans="1:11" x14ac:dyDescent="0.3">
      <c r="A9" s="3">
        <v>36.323586744639378</v>
      </c>
      <c r="D9" s="8" t="s">
        <v>12</v>
      </c>
      <c r="E9" s="1">
        <v>19</v>
      </c>
      <c r="G9" s="8" t="s">
        <v>12</v>
      </c>
      <c r="H9" s="3">
        <v>30.684210526315791</v>
      </c>
      <c r="J9" s="8" t="s">
        <v>12</v>
      </c>
      <c r="K9" s="3">
        <v>7.75</v>
      </c>
    </row>
    <row r="10" spans="1:11" x14ac:dyDescent="0.3">
      <c r="D10" s="8" t="s">
        <v>13</v>
      </c>
      <c r="E10" s="1">
        <v>15</v>
      </c>
      <c r="G10" s="8" t="s">
        <v>13</v>
      </c>
      <c r="H10" s="3">
        <v>37.666666666666664</v>
      </c>
      <c r="J10" s="8" t="s">
        <v>13</v>
      </c>
      <c r="K10" s="3">
        <v>6.2</v>
      </c>
    </row>
    <row r="11" spans="1:11" x14ac:dyDescent="0.3">
      <c r="D11" s="8" t="s">
        <v>14</v>
      </c>
      <c r="E11" s="1">
        <v>12</v>
      </c>
      <c r="G11" s="8" t="s">
        <v>14</v>
      </c>
      <c r="H11" s="3">
        <v>36.083333333333336</v>
      </c>
      <c r="J11" s="8" t="s">
        <v>14</v>
      </c>
      <c r="K11" s="3">
        <v>3.75</v>
      </c>
    </row>
    <row r="12" spans="1:11" x14ac:dyDescent="0.3">
      <c r="A12" t="s">
        <v>3</v>
      </c>
      <c r="D12" s="8" t="s">
        <v>15</v>
      </c>
      <c r="E12" s="1">
        <v>21</v>
      </c>
      <c r="G12" s="8" t="s">
        <v>15</v>
      </c>
      <c r="H12" s="3">
        <v>43.523809523809526</v>
      </c>
      <c r="J12" s="8" t="s">
        <v>15</v>
      </c>
      <c r="K12" s="3">
        <v>6.5</v>
      </c>
    </row>
    <row r="13" spans="1:11" x14ac:dyDescent="0.3">
      <c r="A13" s="3">
        <v>4.9591836734693882</v>
      </c>
      <c r="D13" s="8" t="s">
        <v>16</v>
      </c>
      <c r="E13" s="1">
        <v>12</v>
      </c>
      <c r="G13" s="8" t="s">
        <v>16</v>
      </c>
      <c r="H13" s="3">
        <v>29.5</v>
      </c>
      <c r="J13" s="8" t="s">
        <v>16</v>
      </c>
      <c r="K13" s="3">
        <v>3</v>
      </c>
    </row>
    <row r="14" spans="1:11" x14ac:dyDescent="0.3">
      <c r="D14" s="8" t="s">
        <v>17</v>
      </c>
      <c r="E14" s="1">
        <v>13</v>
      </c>
      <c r="G14" s="8" t="s">
        <v>17</v>
      </c>
      <c r="H14" s="3">
        <v>38.07692307692308</v>
      </c>
      <c r="J14" s="8" t="s">
        <v>17</v>
      </c>
      <c r="K14" s="3">
        <v>4.5</v>
      </c>
    </row>
    <row r="15" spans="1:11" x14ac:dyDescent="0.3">
      <c r="D15" s="8" t="s">
        <v>18</v>
      </c>
      <c r="E15" s="1">
        <v>13</v>
      </c>
      <c r="G15" s="8" t="s">
        <v>18</v>
      </c>
      <c r="H15" s="3">
        <v>35.846153846153847</v>
      </c>
      <c r="J15" s="8" t="s">
        <v>18</v>
      </c>
      <c r="K15" s="3">
        <v>6</v>
      </c>
    </row>
    <row r="16" spans="1:11" x14ac:dyDescent="0.3">
      <c r="D16" s="8" t="s">
        <v>19</v>
      </c>
      <c r="E16" s="1">
        <v>16</v>
      </c>
      <c r="G16" s="8" t="s">
        <v>19</v>
      </c>
      <c r="H16" s="3">
        <v>32.625</v>
      </c>
      <c r="J16" s="8" t="s">
        <v>19</v>
      </c>
      <c r="K16" s="3">
        <v>5.2</v>
      </c>
    </row>
    <row r="17" spans="4:11" x14ac:dyDescent="0.3">
      <c r="D17" s="8" t="s">
        <v>20</v>
      </c>
      <c r="E17" s="1">
        <v>20</v>
      </c>
      <c r="G17" s="8" t="s">
        <v>20</v>
      </c>
      <c r="H17" s="3">
        <v>39.200000000000003</v>
      </c>
      <c r="J17" s="8" t="s">
        <v>20</v>
      </c>
      <c r="K17" s="3">
        <v>4.4000000000000004</v>
      </c>
    </row>
    <row r="18" spans="4:11" x14ac:dyDescent="0.3">
      <c r="D18" s="8" t="s">
        <v>21</v>
      </c>
      <c r="E18" s="1">
        <v>25</v>
      </c>
      <c r="G18" s="8" t="s">
        <v>21</v>
      </c>
      <c r="H18" s="3">
        <v>35.28</v>
      </c>
      <c r="J18" s="8" t="s">
        <v>21</v>
      </c>
      <c r="K18" s="3">
        <v>3.4545454545454546</v>
      </c>
    </row>
    <row r="19" spans="4:11" x14ac:dyDescent="0.3">
      <c r="D19" s="8" t="s">
        <v>22</v>
      </c>
      <c r="E19" s="1">
        <v>20</v>
      </c>
      <c r="G19" s="8" t="s">
        <v>22</v>
      </c>
      <c r="H19" s="3">
        <v>32.549999999999997</v>
      </c>
      <c r="J19" s="8" t="s">
        <v>22</v>
      </c>
      <c r="K19" s="3">
        <v>4.4000000000000004</v>
      </c>
    </row>
    <row r="20" spans="4:11" x14ac:dyDescent="0.3">
      <c r="D20" s="8" t="s">
        <v>23</v>
      </c>
      <c r="E20" s="1">
        <v>14</v>
      </c>
      <c r="G20" s="8" t="s">
        <v>23</v>
      </c>
      <c r="H20" s="3">
        <v>35.642857142857146</v>
      </c>
      <c r="J20" s="8" t="s">
        <v>23</v>
      </c>
      <c r="K20" s="3">
        <v>5.833333333333333</v>
      </c>
    </row>
    <row r="21" spans="4:11" x14ac:dyDescent="0.3">
      <c r="D21" s="8" t="s">
        <v>24</v>
      </c>
      <c r="E21" s="1">
        <v>17</v>
      </c>
      <c r="G21" s="8" t="s">
        <v>24</v>
      </c>
      <c r="H21" s="3">
        <v>38.764705882352942</v>
      </c>
      <c r="J21" s="8" t="s">
        <v>24</v>
      </c>
      <c r="K21" s="3">
        <v>4.4444444444444446</v>
      </c>
    </row>
    <row r="22" spans="4:11" x14ac:dyDescent="0.3">
      <c r="D22" s="8" t="s">
        <v>25</v>
      </c>
      <c r="E22" s="1">
        <v>20</v>
      </c>
      <c r="G22" s="8" t="s">
        <v>25</v>
      </c>
      <c r="H22" s="3">
        <v>39.9</v>
      </c>
      <c r="J22" s="8" t="s">
        <v>25</v>
      </c>
      <c r="K22" s="3">
        <v>5.333333333333333</v>
      </c>
    </row>
    <row r="23" spans="4:11" x14ac:dyDescent="0.3">
      <c r="D23" s="8" t="s">
        <v>26</v>
      </c>
      <c r="E23" s="1">
        <v>10</v>
      </c>
      <c r="G23" s="8" t="s">
        <v>26</v>
      </c>
      <c r="H23" s="3">
        <v>41.6</v>
      </c>
      <c r="J23" s="8" t="s">
        <v>26</v>
      </c>
      <c r="K23" s="3">
        <v>5.333333333333333</v>
      </c>
    </row>
    <row r="24" spans="4:11" x14ac:dyDescent="0.3">
      <c r="D24" s="8" t="s">
        <v>27</v>
      </c>
      <c r="E24" s="1">
        <v>17</v>
      </c>
      <c r="G24" s="8" t="s">
        <v>27</v>
      </c>
      <c r="H24" s="3">
        <v>39.470588235294116</v>
      </c>
      <c r="J24" s="8" t="s">
        <v>27</v>
      </c>
      <c r="K24" s="3">
        <v>5.5714285714285712</v>
      </c>
    </row>
    <row r="25" spans="4:11" x14ac:dyDescent="0.3">
      <c r="D25" s="8" t="s">
        <v>28</v>
      </c>
      <c r="E25" s="1">
        <v>15</v>
      </c>
      <c r="G25" s="8" t="s">
        <v>28</v>
      </c>
      <c r="H25" s="3">
        <v>27.733333333333334</v>
      </c>
      <c r="J25" s="8" t="s">
        <v>28</v>
      </c>
      <c r="K25" s="3">
        <v>5</v>
      </c>
    </row>
    <row r="26" spans="4:11" x14ac:dyDescent="0.3">
      <c r="D26" s="8" t="s">
        <v>29</v>
      </c>
      <c r="E26" s="1">
        <v>16</v>
      </c>
      <c r="G26" s="8" t="s">
        <v>29</v>
      </c>
      <c r="H26" s="3">
        <v>36.875</v>
      </c>
      <c r="J26" s="8" t="s">
        <v>29</v>
      </c>
      <c r="K26" s="3">
        <v>6.4</v>
      </c>
    </row>
    <row r="27" spans="4:11" x14ac:dyDescent="0.3">
      <c r="D27" s="8" t="s">
        <v>30</v>
      </c>
      <c r="E27" s="1">
        <v>18</v>
      </c>
      <c r="G27" s="8" t="s">
        <v>30</v>
      </c>
      <c r="H27" s="3">
        <v>40.333333333333336</v>
      </c>
      <c r="J27" s="8" t="s">
        <v>30</v>
      </c>
      <c r="K27" s="3">
        <v>5.333333333333333</v>
      </c>
    </row>
    <row r="28" spans="4:11" x14ac:dyDescent="0.3">
      <c r="D28" s="8" t="s">
        <v>31</v>
      </c>
      <c r="E28" s="1">
        <v>16</v>
      </c>
      <c r="G28" s="8" t="s">
        <v>31</v>
      </c>
      <c r="H28" s="3">
        <v>36.5</v>
      </c>
      <c r="J28" s="8" t="s">
        <v>31</v>
      </c>
      <c r="K28" s="3">
        <v>3.75</v>
      </c>
    </row>
    <row r="29" spans="4:11" x14ac:dyDescent="0.3">
      <c r="D29" s="8" t="s">
        <v>32</v>
      </c>
      <c r="E29" s="1">
        <v>15</v>
      </c>
      <c r="G29" s="8" t="s">
        <v>32</v>
      </c>
      <c r="H29" s="3">
        <v>32.866666666666667</v>
      </c>
      <c r="J29" s="8" t="s">
        <v>32</v>
      </c>
      <c r="K29" s="3">
        <v>6.333333333333333</v>
      </c>
    </row>
    <row r="30" spans="4:11" x14ac:dyDescent="0.3">
      <c r="D30" s="8" t="s">
        <v>33</v>
      </c>
      <c r="E30" s="1">
        <v>14</v>
      </c>
      <c r="G30" s="8" t="s">
        <v>33</v>
      </c>
      <c r="H30" s="3">
        <v>36.642857142857146</v>
      </c>
      <c r="J30" s="8" t="s">
        <v>33</v>
      </c>
      <c r="K30" s="3">
        <v>10</v>
      </c>
    </row>
    <row r="31" spans="4:11" x14ac:dyDescent="0.3">
      <c r="D31" s="8" t="s">
        <v>34</v>
      </c>
      <c r="E31" s="1">
        <v>16</v>
      </c>
      <c r="G31" s="8" t="s">
        <v>34</v>
      </c>
      <c r="H31" s="3">
        <v>36.5625</v>
      </c>
      <c r="J31" s="8" t="s">
        <v>34</v>
      </c>
      <c r="K31" s="3">
        <v>5</v>
      </c>
    </row>
    <row r="32" spans="4:11" x14ac:dyDescent="0.3">
      <c r="D32" s="8" t="s">
        <v>35</v>
      </c>
      <c r="E32" s="1">
        <v>20</v>
      </c>
      <c r="G32" s="8" t="s">
        <v>35</v>
      </c>
      <c r="H32" s="3">
        <v>32.15</v>
      </c>
      <c r="J32" s="8" t="s">
        <v>35</v>
      </c>
      <c r="K32" s="3">
        <v>5.333333333333333</v>
      </c>
    </row>
    <row r="33" spans="1:11" x14ac:dyDescent="0.3">
      <c r="D33" s="8" t="s">
        <v>36</v>
      </c>
      <c r="E33" s="1">
        <v>19</v>
      </c>
      <c r="G33" s="8" t="s">
        <v>36</v>
      </c>
      <c r="H33" s="3">
        <v>38.368421052631582</v>
      </c>
      <c r="J33" s="8" t="s">
        <v>36</v>
      </c>
      <c r="K33" s="3">
        <v>4.8</v>
      </c>
    </row>
    <row r="34" spans="1:11" x14ac:dyDescent="0.3">
      <c r="D34" s="8" t="s">
        <v>37</v>
      </c>
      <c r="E34" s="1">
        <v>14</v>
      </c>
      <c r="G34" s="8" t="s">
        <v>37</v>
      </c>
      <c r="H34" s="3">
        <v>33.071428571428569</v>
      </c>
      <c r="J34" s="8" t="s">
        <v>37</v>
      </c>
      <c r="K34" s="3">
        <v>5</v>
      </c>
    </row>
    <row r="35" spans="1:11" x14ac:dyDescent="0.3">
      <c r="D35" s="8" t="s">
        <v>38</v>
      </c>
      <c r="E35" s="1">
        <v>18</v>
      </c>
      <c r="G35" s="8" t="s">
        <v>38</v>
      </c>
      <c r="H35" s="3">
        <v>36.444444444444443</v>
      </c>
      <c r="J35" s="8" t="s">
        <v>38</v>
      </c>
      <c r="K35" s="3">
        <v>1.4</v>
      </c>
    </row>
    <row r="36" spans="1:11" x14ac:dyDescent="0.3">
      <c r="D36" s="8" t="s">
        <v>6</v>
      </c>
      <c r="E36" s="1">
        <v>513</v>
      </c>
      <c r="G36" s="8" t="s">
        <v>6</v>
      </c>
      <c r="H36" s="3">
        <v>36.323586744639378</v>
      </c>
      <c r="J36" s="8" t="s">
        <v>6</v>
      </c>
      <c r="K36" s="3">
        <v>4.9591836734693882</v>
      </c>
    </row>
    <row r="38" spans="1:11" x14ac:dyDescent="0.3">
      <c r="A38" s="2" t="s">
        <v>7</v>
      </c>
      <c r="B38" t="s">
        <v>45</v>
      </c>
      <c r="C38" t="s">
        <v>46</v>
      </c>
    </row>
    <row r="39" spans="1:11" x14ac:dyDescent="0.3">
      <c r="A39" s="8" t="s">
        <v>4</v>
      </c>
      <c r="B39" s="11">
        <v>269</v>
      </c>
      <c r="C39" s="12">
        <v>0.52436647173489281</v>
      </c>
    </row>
    <row r="40" spans="1:11" x14ac:dyDescent="0.3">
      <c r="A40" s="8" t="s">
        <v>5</v>
      </c>
      <c r="B40" s="11">
        <v>244</v>
      </c>
      <c r="C40" s="12">
        <v>0.47563352826510719</v>
      </c>
    </row>
    <row r="41" spans="1:11" x14ac:dyDescent="0.3">
      <c r="A41" s="8" t="s">
        <v>6</v>
      </c>
      <c r="B41" s="11">
        <v>513</v>
      </c>
      <c r="C41" s="12">
        <v>1</v>
      </c>
    </row>
    <row r="45" spans="1:11" x14ac:dyDescent="0.3">
      <c r="A45" s="13" t="s">
        <v>47</v>
      </c>
      <c r="B45" s="13" t="s">
        <v>1</v>
      </c>
      <c r="C45" s="13" t="s">
        <v>48</v>
      </c>
      <c r="D45" s="13"/>
    </row>
    <row r="46" spans="1:11" x14ac:dyDescent="0.3">
      <c r="A46" s="14" t="str">
        <f>A40</f>
        <v>Not Admitted</v>
      </c>
      <c r="B46" s="14">
        <f t="shared" ref="B46:C46" si="0">B40</f>
        <v>244</v>
      </c>
      <c r="C46" s="15">
        <f t="shared" si="0"/>
        <v>0.47563352826510719</v>
      </c>
      <c r="D46" s="14"/>
    </row>
    <row r="47" spans="1:11" x14ac:dyDescent="0.3">
      <c r="A47" s="14" t="str">
        <f>A39</f>
        <v>Admitted</v>
      </c>
      <c r="B47" s="14">
        <f t="shared" ref="B47:C47" si="1">B39</f>
        <v>269</v>
      </c>
      <c r="C47" s="15">
        <f t="shared" si="1"/>
        <v>0.52436647173489281</v>
      </c>
      <c r="D47" s="14"/>
    </row>
    <row r="49" spans="1:6" x14ac:dyDescent="0.3">
      <c r="A49" t="s">
        <v>71</v>
      </c>
    </row>
    <row r="50" spans="1:6" x14ac:dyDescent="0.3">
      <c r="A50" s="2" t="s">
        <v>7</v>
      </c>
      <c r="B50" t="s">
        <v>51</v>
      </c>
      <c r="E50" s="2" t="s">
        <v>7</v>
      </c>
      <c r="F50" t="s">
        <v>74</v>
      </c>
    </row>
    <row r="51" spans="1:6" x14ac:dyDescent="0.3">
      <c r="A51" s="8" t="s">
        <v>49</v>
      </c>
      <c r="B51" s="11">
        <v>316</v>
      </c>
      <c r="E51" s="8" t="s">
        <v>54</v>
      </c>
      <c r="F51" s="11">
        <v>76</v>
      </c>
    </row>
    <row r="52" spans="1:6" x14ac:dyDescent="0.3">
      <c r="A52" s="8" t="s">
        <v>50</v>
      </c>
      <c r="B52" s="11">
        <v>197</v>
      </c>
      <c r="E52" s="8" t="s">
        <v>56</v>
      </c>
      <c r="F52" s="11">
        <v>69</v>
      </c>
    </row>
    <row r="53" spans="1:6" x14ac:dyDescent="0.3">
      <c r="A53" s="8" t="s">
        <v>6</v>
      </c>
      <c r="B53" s="11">
        <v>513</v>
      </c>
      <c r="E53" s="8" t="s">
        <v>57</v>
      </c>
      <c r="F53" s="11">
        <v>64</v>
      </c>
    </row>
    <row r="54" spans="1:6" x14ac:dyDescent="0.3">
      <c r="A54" s="8" t="s">
        <v>72</v>
      </c>
      <c r="E54" s="8" t="s">
        <v>59</v>
      </c>
      <c r="F54" s="11">
        <v>59</v>
      </c>
    </row>
    <row r="55" spans="1:6" x14ac:dyDescent="0.3">
      <c r="A55" s="2" t="s">
        <v>7</v>
      </c>
      <c r="B55" t="s">
        <v>70</v>
      </c>
      <c r="E55" s="8" t="s">
        <v>55</v>
      </c>
      <c r="F55" s="11">
        <v>58</v>
      </c>
    </row>
    <row r="56" spans="1:6" x14ac:dyDescent="0.3">
      <c r="A56" s="8" t="s">
        <v>62</v>
      </c>
      <c r="B56" s="11">
        <v>241</v>
      </c>
      <c r="E56" s="8" t="s">
        <v>60</v>
      </c>
      <c r="F56" s="11">
        <v>66</v>
      </c>
    </row>
    <row r="57" spans="1:6" x14ac:dyDescent="0.3">
      <c r="A57" s="8" t="s">
        <v>52</v>
      </c>
      <c r="B57" s="11">
        <v>272</v>
      </c>
      <c r="E57" s="8" t="s">
        <v>58</v>
      </c>
      <c r="F57" s="11">
        <v>67</v>
      </c>
    </row>
    <row r="58" spans="1:6" x14ac:dyDescent="0.3">
      <c r="A58" s="8" t="s">
        <v>6</v>
      </c>
      <c r="B58" s="11">
        <v>513</v>
      </c>
      <c r="E58" s="8" t="s">
        <v>61</v>
      </c>
      <c r="F58" s="11">
        <v>54</v>
      </c>
    </row>
    <row r="59" spans="1:6" x14ac:dyDescent="0.3">
      <c r="E59" s="8" t="s">
        <v>6</v>
      </c>
      <c r="F59" s="11">
        <v>513</v>
      </c>
    </row>
    <row r="61" spans="1:6" x14ac:dyDescent="0.3">
      <c r="A61" s="2" t="s">
        <v>7</v>
      </c>
      <c r="B61" t="s">
        <v>73</v>
      </c>
    </row>
    <row r="62" spans="1:6" x14ac:dyDescent="0.3">
      <c r="A62" s="8" t="s">
        <v>68</v>
      </c>
      <c r="B62" s="11">
        <v>4</v>
      </c>
      <c r="D62" s="2" t="s">
        <v>7</v>
      </c>
    </row>
    <row r="63" spans="1:6" x14ac:dyDescent="0.3">
      <c r="A63" s="8" t="s">
        <v>69</v>
      </c>
      <c r="B63" s="11">
        <v>5</v>
      </c>
      <c r="D63" s="8" t="s">
        <v>75</v>
      </c>
    </row>
    <row r="64" spans="1:6" x14ac:dyDescent="0.3">
      <c r="A64" s="8" t="s">
        <v>67</v>
      </c>
      <c r="B64" s="11">
        <v>9</v>
      </c>
      <c r="D64" s="8" t="s">
        <v>6</v>
      </c>
    </row>
    <row r="65" spans="1:2" x14ac:dyDescent="0.3">
      <c r="A65" s="8" t="s">
        <v>65</v>
      </c>
      <c r="B65" s="11">
        <v>14</v>
      </c>
    </row>
    <row r="66" spans="1:2" x14ac:dyDescent="0.3">
      <c r="A66" s="8" t="s">
        <v>66</v>
      </c>
      <c r="B66" s="11">
        <v>14</v>
      </c>
    </row>
    <row r="67" spans="1:2" x14ac:dyDescent="0.3">
      <c r="A67" s="8" t="s">
        <v>64</v>
      </c>
      <c r="B67" s="11">
        <v>65</v>
      </c>
    </row>
    <row r="68" spans="1:2" x14ac:dyDescent="0.3">
      <c r="A68" s="8" t="s">
        <v>63</v>
      </c>
      <c r="B68" s="11">
        <v>103</v>
      </c>
    </row>
    <row r="69" spans="1:2" x14ac:dyDescent="0.3">
      <c r="A69" s="8" t="s">
        <v>53</v>
      </c>
      <c r="B69" s="11">
        <v>299</v>
      </c>
    </row>
    <row r="70" spans="1:2" x14ac:dyDescent="0.3">
      <c r="A70" s="8" t="s">
        <v>6</v>
      </c>
      <c r="B70" s="11">
        <v>513</v>
      </c>
    </row>
  </sheetData>
  <pageMargins left="0.7" right="0.7" top="0.75" bottom="0.75" header="0.3" footer="0.3"/>
  <pageSetup orientation="portrait"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B43E0-6D68-4233-8DDA-AFE56C763E28}">
  <dimension ref="A1:N19"/>
  <sheetViews>
    <sheetView zoomScale="175" zoomScaleNormal="175" workbookViewId="0">
      <selection activeCell="E21" sqref="E21"/>
    </sheetView>
  </sheetViews>
  <sheetFormatPr defaultRowHeight="14.4" x14ac:dyDescent="0.3"/>
  <cols>
    <col min="3" max="3" width="8.88671875" customWidth="1"/>
    <col min="4" max="4" width="8.88671875" style="7"/>
    <col min="7" max="7" width="9" customWidth="1"/>
  </cols>
  <sheetData>
    <row r="1" spans="1:14" x14ac:dyDescent="0.3">
      <c r="A1" s="4"/>
      <c r="B1" s="4"/>
      <c r="C1" s="4"/>
      <c r="D1" s="6"/>
      <c r="E1" s="4"/>
      <c r="F1" s="4"/>
      <c r="G1" s="4"/>
      <c r="H1" s="4"/>
      <c r="I1" s="4"/>
      <c r="J1" s="4"/>
      <c r="K1" s="4"/>
      <c r="L1" s="4"/>
      <c r="M1" s="4"/>
      <c r="N1" s="4"/>
    </row>
    <row r="2" spans="1:14" x14ac:dyDescent="0.3">
      <c r="A2" s="4"/>
      <c r="B2" s="4"/>
      <c r="C2" s="4"/>
      <c r="D2" s="6"/>
      <c r="E2" s="4"/>
      <c r="F2" s="4"/>
      <c r="G2" s="4"/>
      <c r="H2" s="4"/>
      <c r="I2" s="4"/>
      <c r="J2" s="4"/>
      <c r="K2" s="4"/>
      <c r="L2" s="4"/>
      <c r="M2" s="4"/>
      <c r="N2" s="4"/>
    </row>
    <row r="3" spans="1:14" x14ac:dyDescent="0.3">
      <c r="A3" s="4"/>
      <c r="B3" s="4"/>
      <c r="C3" s="4"/>
      <c r="D3" s="6"/>
      <c r="E3" s="4"/>
      <c r="F3" s="4"/>
      <c r="G3" s="4"/>
      <c r="H3" s="4"/>
      <c r="I3" s="4"/>
      <c r="J3" s="4"/>
      <c r="K3" s="4"/>
      <c r="L3" s="4"/>
      <c r="M3" s="4"/>
      <c r="N3" s="4"/>
    </row>
    <row r="4" spans="1:14" ht="15.6" x14ac:dyDescent="0.3">
      <c r="A4" s="4"/>
      <c r="B4" s="4"/>
      <c r="C4" s="4"/>
      <c r="D4" s="6"/>
      <c r="E4" s="4"/>
      <c r="F4" s="4"/>
      <c r="G4" s="4"/>
      <c r="H4" s="4"/>
      <c r="I4" s="4"/>
      <c r="J4" s="4"/>
      <c r="K4" s="4"/>
      <c r="L4" s="4"/>
      <c r="M4" s="5"/>
      <c r="N4" s="4"/>
    </row>
    <row r="5" spans="1:14" x14ac:dyDescent="0.3">
      <c r="A5" s="4"/>
      <c r="B5" s="4"/>
      <c r="C5" s="4"/>
      <c r="D5" s="6"/>
      <c r="E5" s="4"/>
      <c r="F5" s="4"/>
      <c r="G5" s="4"/>
      <c r="H5" s="4"/>
      <c r="I5" s="4"/>
      <c r="J5" s="4"/>
      <c r="K5" s="4"/>
      <c r="L5" s="4"/>
      <c r="M5" s="4"/>
      <c r="N5" s="4"/>
    </row>
    <row r="6" spans="1:14" x14ac:dyDescent="0.3">
      <c r="A6" s="4"/>
      <c r="B6" s="4"/>
      <c r="C6" s="4"/>
      <c r="D6" s="6"/>
      <c r="E6" s="4"/>
      <c r="F6" s="4"/>
      <c r="G6" s="4"/>
      <c r="H6" s="4"/>
      <c r="I6" s="4"/>
      <c r="J6" s="4"/>
      <c r="K6" s="4"/>
      <c r="L6" s="4"/>
      <c r="M6" s="4"/>
      <c r="N6" s="4"/>
    </row>
    <row r="7" spans="1:14" x14ac:dyDescent="0.3">
      <c r="A7" s="4"/>
      <c r="B7" s="4"/>
      <c r="C7" s="4"/>
      <c r="D7" s="6"/>
      <c r="E7" s="4"/>
      <c r="F7" s="4"/>
      <c r="G7" s="4"/>
      <c r="H7" s="4"/>
      <c r="I7" s="4"/>
      <c r="J7" s="4"/>
      <c r="K7" s="4"/>
      <c r="L7" s="4"/>
      <c r="M7" s="4"/>
      <c r="N7" s="4"/>
    </row>
    <row r="8" spans="1:14" x14ac:dyDescent="0.3">
      <c r="A8" s="4"/>
      <c r="B8" s="4"/>
      <c r="C8" s="4"/>
      <c r="D8" s="6"/>
      <c r="E8" s="4"/>
      <c r="F8" s="4"/>
      <c r="G8" s="4"/>
      <c r="H8" s="4"/>
      <c r="I8" s="4"/>
      <c r="J8" s="4"/>
      <c r="K8" s="4"/>
      <c r="L8" s="4"/>
      <c r="M8" s="4"/>
      <c r="N8" s="4"/>
    </row>
    <row r="9" spans="1:14" x14ac:dyDescent="0.3">
      <c r="A9" s="4"/>
      <c r="B9" s="4"/>
      <c r="C9" s="4"/>
      <c r="D9" s="6"/>
      <c r="E9" s="4"/>
      <c r="F9" s="4"/>
      <c r="G9" s="4"/>
      <c r="H9" s="4"/>
      <c r="I9" s="4"/>
      <c r="J9" s="4"/>
      <c r="K9" s="4"/>
      <c r="L9" s="4"/>
      <c r="M9" s="4"/>
      <c r="N9" s="4"/>
    </row>
    <row r="10" spans="1:14" x14ac:dyDescent="0.3">
      <c r="A10" s="4"/>
      <c r="B10" s="4"/>
      <c r="C10" s="4"/>
      <c r="D10" s="6"/>
      <c r="E10" s="4"/>
      <c r="F10" s="4"/>
      <c r="G10" s="4"/>
      <c r="H10" s="4"/>
      <c r="I10" s="4"/>
      <c r="J10" s="4"/>
      <c r="K10" s="4"/>
      <c r="L10" s="4"/>
      <c r="M10" s="4"/>
      <c r="N10" s="4"/>
    </row>
    <row r="11" spans="1:14" x14ac:dyDescent="0.3">
      <c r="A11" s="4"/>
      <c r="B11" s="4"/>
      <c r="C11" s="4"/>
      <c r="D11" s="6"/>
      <c r="E11" s="4"/>
      <c r="F11" s="4"/>
      <c r="G11" s="4"/>
      <c r="H11" s="4"/>
      <c r="I11" s="4"/>
      <c r="J11" s="4"/>
      <c r="K11" s="4"/>
      <c r="L11" s="4"/>
      <c r="M11" s="4"/>
      <c r="N11" s="4"/>
    </row>
    <row r="12" spans="1:14" x14ac:dyDescent="0.3">
      <c r="A12" s="4"/>
      <c r="B12" s="4"/>
      <c r="C12" s="4"/>
      <c r="D12" s="6"/>
      <c r="E12" s="4"/>
      <c r="F12" s="4"/>
      <c r="G12" s="4"/>
      <c r="H12" s="4"/>
      <c r="I12" s="4"/>
      <c r="J12" s="4"/>
      <c r="K12" s="4"/>
      <c r="L12" s="4"/>
      <c r="M12" s="4"/>
      <c r="N12" s="4"/>
    </row>
    <row r="13" spans="1:14" x14ac:dyDescent="0.3">
      <c r="A13" s="4"/>
      <c r="B13" s="4"/>
      <c r="C13" s="4"/>
      <c r="D13" s="6"/>
      <c r="E13" s="4"/>
      <c r="F13" s="4"/>
      <c r="G13" s="4"/>
      <c r="H13" s="4"/>
      <c r="I13" s="4"/>
      <c r="J13" s="4"/>
      <c r="K13" s="4"/>
      <c r="L13" s="4"/>
      <c r="M13" s="4"/>
      <c r="N13" s="4"/>
    </row>
    <row r="14" spans="1:14" x14ac:dyDescent="0.3">
      <c r="A14" s="4"/>
      <c r="B14" s="4"/>
      <c r="C14" s="4"/>
      <c r="D14" s="6"/>
      <c r="E14" s="4"/>
      <c r="F14" s="4"/>
      <c r="G14" s="4"/>
      <c r="H14" s="4"/>
      <c r="I14" s="4"/>
      <c r="J14" s="4"/>
      <c r="K14" s="4"/>
      <c r="L14" s="4"/>
      <c r="M14" s="4"/>
      <c r="N14" s="4"/>
    </row>
    <row r="15" spans="1:14" x14ac:dyDescent="0.3">
      <c r="A15" s="4"/>
      <c r="B15" s="4"/>
      <c r="C15" s="4"/>
      <c r="D15" s="6"/>
      <c r="E15" s="4"/>
      <c r="F15" s="4"/>
      <c r="G15" s="4"/>
      <c r="H15" s="4"/>
      <c r="I15" s="4"/>
      <c r="J15" s="4"/>
      <c r="K15" s="4"/>
      <c r="L15" s="4"/>
      <c r="M15" s="4"/>
      <c r="N15" s="4"/>
    </row>
    <row r="16" spans="1:14" x14ac:dyDescent="0.3">
      <c r="A16" s="4"/>
      <c r="B16" s="4"/>
      <c r="C16" s="4"/>
      <c r="D16" s="6"/>
      <c r="E16" s="4"/>
      <c r="F16" s="4"/>
      <c r="G16" s="4"/>
      <c r="H16" s="4"/>
      <c r="I16" s="4"/>
      <c r="J16" s="4"/>
      <c r="K16" s="4"/>
      <c r="L16" s="4"/>
      <c r="M16" s="4"/>
      <c r="N16" s="4"/>
    </row>
    <row r="17" spans="1:14" x14ac:dyDescent="0.3">
      <c r="A17" s="4"/>
      <c r="B17" s="4"/>
      <c r="C17" s="4"/>
      <c r="D17" s="6"/>
      <c r="E17" s="4"/>
      <c r="F17" s="4"/>
      <c r="G17" s="4"/>
      <c r="H17" s="4"/>
      <c r="I17" s="4"/>
      <c r="J17" s="4"/>
      <c r="K17" s="4"/>
      <c r="L17" s="4"/>
      <c r="M17" s="4"/>
      <c r="N17" s="4"/>
    </row>
    <row r="18" spans="1:14" x14ac:dyDescent="0.3">
      <c r="A18" s="4"/>
      <c r="B18" s="4"/>
      <c r="C18" s="4"/>
      <c r="D18" s="6"/>
      <c r="E18" s="4"/>
      <c r="F18" s="4"/>
      <c r="G18" s="4"/>
      <c r="H18" s="4"/>
      <c r="I18" s="4"/>
      <c r="J18" s="4"/>
      <c r="K18" s="4"/>
      <c r="L18" s="4"/>
      <c r="M18" s="4"/>
      <c r="N18" s="4"/>
    </row>
    <row r="19" spans="1:14" x14ac:dyDescent="0.3">
      <c r="H19" s="16"/>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2F674-9278-4A48-A354-7E6ABFBA3A68}">
  <dimension ref="A1:R28"/>
  <sheetViews>
    <sheetView workbookViewId="0">
      <selection activeCell="F29" sqref="F29"/>
    </sheetView>
  </sheetViews>
  <sheetFormatPr defaultRowHeight="14.4" x14ac:dyDescent="0.3"/>
  <sheetData>
    <row r="1" spans="1:18" x14ac:dyDescent="0.3">
      <c r="A1" s="9"/>
      <c r="B1" s="9"/>
      <c r="C1" s="9"/>
      <c r="D1" s="9"/>
      <c r="E1" s="9"/>
      <c r="F1" s="9"/>
      <c r="G1" s="9"/>
      <c r="H1" s="9"/>
      <c r="I1" s="9"/>
      <c r="J1" s="9"/>
      <c r="K1" s="9"/>
      <c r="L1" s="9"/>
      <c r="M1" s="9"/>
      <c r="N1" s="9"/>
      <c r="O1" s="9"/>
      <c r="P1" s="9"/>
      <c r="Q1" s="9"/>
      <c r="R1" s="9"/>
    </row>
    <row r="2" spans="1:18" x14ac:dyDescent="0.3">
      <c r="A2" s="9"/>
      <c r="B2" s="9"/>
      <c r="C2" s="9"/>
      <c r="D2" s="9"/>
      <c r="E2" s="9"/>
      <c r="F2" s="9"/>
      <c r="G2" s="9"/>
      <c r="H2" s="9"/>
      <c r="I2" s="9"/>
      <c r="J2" s="9"/>
      <c r="K2" s="9"/>
      <c r="L2" s="9"/>
      <c r="M2" s="9"/>
      <c r="N2" s="9"/>
      <c r="O2" s="9"/>
      <c r="P2" s="9"/>
      <c r="Q2" s="9"/>
      <c r="R2" s="9"/>
    </row>
    <row r="3" spans="1:18" x14ac:dyDescent="0.3">
      <c r="A3" s="9"/>
      <c r="B3" s="9"/>
      <c r="C3" s="9"/>
      <c r="D3" s="9"/>
      <c r="E3" s="9"/>
      <c r="F3" s="9"/>
      <c r="G3" s="9"/>
      <c r="H3" s="9"/>
      <c r="I3" s="9"/>
      <c r="J3" s="9"/>
      <c r="K3" s="9"/>
      <c r="L3" s="9"/>
      <c r="M3" s="9"/>
      <c r="N3" s="9"/>
      <c r="O3" s="9"/>
      <c r="P3" s="9"/>
      <c r="Q3" s="9"/>
      <c r="R3" s="9"/>
    </row>
    <row r="4" spans="1:18" x14ac:dyDescent="0.3">
      <c r="A4" s="9"/>
      <c r="B4" s="9"/>
      <c r="C4" s="9"/>
      <c r="D4" s="9"/>
      <c r="E4" s="9"/>
      <c r="F4" s="9"/>
      <c r="G4" s="9"/>
      <c r="H4" s="9"/>
      <c r="I4" s="9"/>
      <c r="J4" s="9"/>
      <c r="K4" s="9"/>
      <c r="L4" s="9"/>
      <c r="M4" s="9"/>
      <c r="N4" s="9"/>
      <c r="O4" s="9"/>
      <c r="P4" s="9"/>
      <c r="Q4" s="9"/>
      <c r="R4" s="9"/>
    </row>
    <row r="5" spans="1:18" x14ac:dyDescent="0.3">
      <c r="A5" s="9"/>
      <c r="B5" s="9"/>
      <c r="C5" s="9"/>
      <c r="D5" s="9"/>
      <c r="E5" s="9"/>
      <c r="F5" s="9"/>
      <c r="G5" s="9"/>
      <c r="H5" s="9"/>
      <c r="I5" s="9"/>
      <c r="J5" s="9"/>
      <c r="K5" s="9"/>
      <c r="L5" s="9"/>
      <c r="M5" s="9"/>
      <c r="N5" s="9"/>
      <c r="O5" s="9"/>
      <c r="P5" s="9"/>
      <c r="Q5" s="9"/>
      <c r="R5" s="9"/>
    </row>
    <row r="6" spans="1:18" x14ac:dyDescent="0.3">
      <c r="A6" s="9"/>
      <c r="B6" s="9"/>
      <c r="C6" s="9"/>
      <c r="D6" s="9"/>
      <c r="E6" s="9"/>
      <c r="F6" s="9"/>
      <c r="G6" s="9"/>
      <c r="H6" s="9"/>
      <c r="I6" s="9"/>
      <c r="J6" s="9"/>
      <c r="K6" s="9"/>
      <c r="L6" s="9"/>
      <c r="M6" s="9"/>
      <c r="N6" s="9"/>
      <c r="O6" s="9"/>
      <c r="P6" s="9"/>
      <c r="Q6" s="9"/>
      <c r="R6" s="9"/>
    </row>
    <row r="7" spans="1:18" x14ac:dyDescent="0.3">
      <c r="A7" s="9"/>
      <c r="B7" s="9"/>
      <c r="C7" s="9"/>
      <c r="D7" s="9"/>
      <c r="E7" s="9"/>
      <c r="F7" s="9"/>
      <c r="G7" s="9"/>
      <c r="H7" s="9"/>
      <c r="I7" s="9"/>
      <c r="J7" s="9"/>
      <c r="K7" s="9"/>
      <c r="L7" s="9"/>
      <c r="M7" s="9"/>
      <c r="N7" s="9"/>
      <c r="O7" s="9"/>
      <c r="P7" s="9"/>
      <c r="Q7" s="9"/>
      <c r="R7" s="9"/>
    </row>
    <row r="8" spans="1:18" x14ac:dyDescent="0.3">
      <c r="A8" s="9"/>
      <c r="B8" s="9"/>
      <c r="C8" s="9"/>
      <c r="D8" s="9"/>
      <c r="E8" s="9"/>
      <c r="F8" s="9"/>
      <c r="G8" s="9"/>
      <c r="H8" s="9"/>
      <c r="I8" s="9"/>
      <c r="J8" s="9"/>
      <c r="K8" s="9"/>
      <c r="L8" s="9"/>
      <c r="M8" s="9"/>
      <c r="N8" s="9"/>
      <c r="O8" s="9"/>
      <c r="P8" s="9"/>
      <c r="Q8" s="9"/>
      <c r="R8" s="9"/>
    </row>
    <row r="9" spans="1:18" x14ac:dyDescent="0.3">
      <c r="A9" s="9"/>
      <c r="B9" s="9"/>
      <c r="C9" s="9"/>
      <c r="D9" s="9"/>
      <c r="E9" s="9"/>
      <c r="F9" s="9"/>
      <c r="G9" s="9"/>
      <c r="H9" s="9"/>
      <c r="I9" s="9"/>
      <c r="J9" s="9"/>
      <c r="K9" s="9"/>
      <c r="L9" s="9"/>
      <c r="M9" s="9"/>
      <c r="N9" s="9"/>
      <c r="O9" s="9"/>
      <c r="P9" s="9"/>
      <c r="Q9" s="9"/>
      <c r="R9" s="9"/>
    </row>
    <row r="10" spans="1:18" x14ac:dyDescent="0.3">
      <c r="A10" s="9"/>
      <c r="B10" s="9"/>
      <c r="C10" s="9"/>
      <c r="D10" s="9"/>
      <c r="E10" s="9"/>
      <c r="F10" s="9"/>
      <c r="G10" s="9"/>
      <c r="H10" s="9"/>
      <c r="I10" s="9"/>
      <c r="J10" s="9"/>
      <c r="K10" s="9"/>
      <c r="L10" s="9"/>
      <c r="M10" s="9"/>
      <c r="N10" s="9"/>
      <c r="O10" s="9"/>
      <c r="P10" s="9"/>
      <c r="Q10" s="9"/>
      <c r="R10" s="9"/>
    </row>
    <row r="11" spans="1:18" x14ac:dyDescent="0.3">
      <c r="A11" s="9"/>
      <c r="B11" s="9"/>
      <c r="C11" s="9"/>
      <c r="D11" s="9"/>
      <c r="E11" s="9"/>
      <c r="F11" s="9"/>
      <c r="G11" s="9"/>
      <c r="H11" s="9"/>
      <c r="I11" s="9"/>
      <c r="J11" s="9"/>
      <c r="K11" s="9"/>
      <c r="L11" s="9"/>
      <c r="M11" s="9"/>
      <c r="N11" s="9"/>
      <c r="O11" s="9"/>
      <c r="P11" s="9"/>
      <c r="Q11" s="9"/>
      <c r="R11" s="9"/>
    </row>
    <row r="12" spans="1:18" x14ac:dyDescent="0.3">
      <c r="A12" s="9"/>
      <c r="B12" s="9"/>
      <c r="C12" s="9"/>
      <c r="D12" s="9"/>
      <c r="E12" s="9"/>
      <c r="F12" s="9"/>
      <c r="G12" s="9"/>
      <c r="H12" s="9"/>
      <c r="I12" s="9"/>
      <c r="J12" s="9"/>
      <c r="K12" s="9"/>
      <c r="L12" s="9"/>
      <c r="M12" s="9"/>
      <c r="N12" s="9"/>
      <c r="O12" s="9"/>
      <c r="P12" s="9"/>
      <c r="Q12" s="9"/>
      <c r="R12" s="9"/>
    </row>
    <row r="13" spans="1:18" x14ac:dyDescent="0.3">
      <c r="A13" s="9"/>
      <c r="B13" s="9"/>
      <c r="C13" s="9"/>
      <c r="D13" s="9"/>
      <c r="E13" s="9"/>
      <c r="F13" s="9"/>
      <c r="G13" s="9"/>
      <c r="H13" s="9"/>
      <c r="I13" s="9"/>
      <c r="J13" s="9"/>
      <c r="K13" s="9"/>
      <c r="L13" s="9"/>
      <c r="M13" s="9"/>
      <c r="N13" s="9"/>
      <c r="O13" s="9"/>
      <c r="P13" s="9"/>
      <c r="Q13" s="9"/>
      <c r="R13" s="9"/>
    </row>
    <row r="14" spans="1:18" x14ac:dyDescent="0.3">
      <c r="A14" s="9"/>
      <c r="B14" s="9"/>
      <c r="C14" s="9"/>
      <c r="D14" s="9"/>
      <c r="E14" s="9"/>
      <c r="F14" s="9"/>
      <c r="G14" s="9"/>
      <c r="H14" s="9"/>
      <c r="I14" s="9"/>
      <c r="J14" s="9"/>
      <c r="K14" s="9"/>
      <c r="L14" s="9"/>
      <c r="M14" s="9"/>
      <c r="N14" s="9"/>
      <c r="O14" s="9"/>
      <c r="P14" s="9"/>
      <c r="Q14" s="9"/>
      <c r="R14" s="9"/>
    </row>
    <row r="15" spans="1:18" x14ac:dyDescent="0.3">
      <c r="A15" s="9"/>
      <c r="B15" s="9"/>
      <c r="C15" s="9"/>
      <c r="D15" s="9"/>
      <c r="E15" s="9"/>
      <c r="F15" s="9"/>
      <c r="G15" s="9"/>
      <c r="H15" s="9"/>
      <c r="I15" s="9"/>
      <c r="J15" s="9"/>
      <c r="K15" s="9"/>
      <c r="L15" s="9"/>
      <c r="M15" s="9"/>
      <c r="N15" s="9"/>
      <c r="O15" s="9"/>
      <c r="P15" s="9"/>
      <c r="Q15" s="9"/>
      <c r="R15" s="9"/>
    </row>
    <row r="16" spans="1:18" x14ac:dyDescent="0.3">
      <c r="A16" s="9"/>
      <c r="B16" s="9"/>
      <c r="C16" s="9"/>
      <c r="D16" s="9"/>
      <c r="E16" s="9"/>
      <c r="F16" s="9"/>
      <c r="G16" s="9"/>
      <c r="H16" s="9"/>
      <c r="I16" s="9"/>
      <c r="J16" s="9"/>
      <c r="K16" s="9"/>
      <c r="L16" s="9"/>
      <c r="M16" s="9"/>
      <c r="N16" s="9"/>
      <c r="O16" s="9"/>
      <c r="P16" s="9"/>
      <c r="Q16" s="9"/>
      <c r="R16" s="9"/>
    </row>
    <row r="17" spans="1:18" x14ac:dyDescent="0.3">
      <c r="A17" s="9"/>
      <c r="B17" s="9"/>
      <c r="C17" s="9"/>
      <c r="D17" s="9"/>
      <c r="E17" s="9"/>
      <c r="F17" s="9"/>
      <c r="G17" s="9"/>
      <c r="H17" s="9"/>
      <c r="I17" s="9"/>
      <c r="J17" s="9"/>
      <c r="K17" s="9"/>
      <c r="L17" s="9"/>
      <c r="M17" s="9"/>
      <c r="N17" s="9"/>
      <c r="O17" s="9"/>
      <c r="P17" s="9"/>
      <c r="Q17" s="9"/>
      <c r="R17" s="9"/>
    </row>
    <row r="18" spans="1:18" x14ac:dyDescent="0.3">
      <c r="A18" s="9"/>
      <c r="B18" s="9"/>
      <c r="C18" s="9"/>
      <c r="D18" s="9"/>
      <c r="E18" s="9"/>
      <c r="F18" s="9"/>
      <c r="G18" s="9"/>
      <c r="H18" s="9"/>
      <c r="I18" s="9"/>
      <c r="J18" s="9"/>
      <c r="K18" s="9"/>
      <c r="L18" s="9"/>
      <c r="M18" s="9"/>
      <c r="N18" s="9"/>
      <c r="O18" s="9"/>
      <c r="P18" s="9"/>
      <c r="Q18" s="9"/>
      <c r="R18" s="9"/>
    </row>
    <row r="19" spans="1:18" x14ac:dyDescent="0.3">
      <c r="A19" s="9"/>
      <c r="B19" s="9"/>
      <c r="C19" s="9"/>
      <c r="D19" s="9"/>
      <c r="E19" s="9"/>
      <c r="F19" s="9"/>
      <c r="G19" s="9"/>
      <c r="H19" s="9"/>
      <c r="I19" s="9"/>
      <c r="J19" s="9"/>
      <c r="K19" s="9"/>
      <c r="L19" s="9"/>
      <c r="M19" s="9"/>
      <c r="N19" s="9"/>
      <c r="O19" s="9"/>
      <c r="P19" s="9"/>
      <c r="Q19" s="9"/>
      <c r="R19" s="9"/>
    </row>
    <row r="20" spans="1:18" x14ac:dyDescent="0.3">
      <c r="A20" s="9"/>
      <c r="B20" s="9"/>
      <c r="C20" s="9"/>
      <c r="D20" s="9"/>
      <c r="E20" s="9"/>
      <c r="F20" s="9"/>
      <c r="G20" s="9"/>
      <c r="H20" s="9"/>
      <c r="I20" s="9"/>
      <c r="J20" s="9"/>
      <c r="K20" s="9"/>
      <c r="L20" s="9"/>
      <c r="M20" s="9"/>
      <c r="N20" s="9"/>
      <c r="O20" s="9"/>
      <c r="P20" s="9"/>
      <c r="Q20" s="9"/>
      <c r="R20" s="9"/>
    </row>
    <row r="21" spans="1:18" x14ac:dyDescent="0.3">
      <c r="A21" s="9"/>
      <c r="B21" s="9"/>
      <c r="C21" s="9"/>
      <c r="D21" s="9"/>
      <c r="E21" s="9"/>
      <c r="F21" s="9"/>
      <c r="G21" s="9"/>
      <c r="H21" s="9"/>
      <c r="I21" s="9"/>
      <c r="J21" s="9"/>
      <c r="K21" s="9"/>
      <c r="L21" s="9"/>
      <c r="M21" s="9"/>
      <c r="N21" s="9"/>
      <c r="O21" s="9"/>
      <c r="P21" s="9"/>
      <c r="Q21" s="9"/>
      <c r="R21" s="9"/>
    </row>
    <row r="22" spans="1:18" x14ac:dyDescent="0.3">
      <c r="A22" s="9"/>
      <c r="B22" s="9"/>
      <c r="C22" s="9"/>
      <c r="D22" s="9" t="s">
        <v>44</v>
      </c>
      <c r="E22" s="9"/>
      <c r="F22" s="9"/>
      <c r="G22" s="9"/>
      <c r="H22" s="9"/>
      <c r="I22" s="9"/>
      <c r="J22" s="9"/>
      <c r="K22" s="9"/>
      <c r="L22" s="9"/>
      <c r="M22" s="9"/>
      <c r="N22" s="9"/>
      <c r="O22" s="9"/>
      <c r="P22" s="9"/>
      <c r="Q22" s="9"/>
      <c r="R22" s="9"/>
    </row>
    <row r="23" spans="1:18" x14ac:dyDescent="0.3">
      <c r="A23" s="9"/>
      <c r="B23" s="9"/>
      <c r="C23" s="9"/>
      <c r="D23" s="9"/>
      <c r="E23" s="9"/>
      <c r="F23" s="9"/>
      <c r="G23" s="9"/>
      <c r="H23" s="9"/>
      <c r="I23" s="9"/>
      <c r="J23" s="9"/>
      <c r="K23" s="9"/>
      <c r="L23" s="9"/>
      <c r="M23" s="9"/>
      <c r="N23" s="9"/>
      <c r="O23" s="9"/>
      <c r="P23" s="9"/>
      <c r="Q23" s="9"/>
      <c r="R23" s="9"/>
    </row>
    <row r="24" spans="1:18" x14ac:dyDescent="0.3">
      <c r="A24" s="9"/>
      <c r="B24" s="9"/>
      <c r="C24" s="9"/>
      <c r="D24" s="9"/>
      <c r="E24" s="9"/>
      <c r="F24" s="9"/>
      <c r="G24" s="9"/>
      <c r="H24" s="9"/>
      <c r="I24" s="9"/>
      <c r="J24" s="9"/>
      <c r="K24" s="9"/>
      <c r="L24" s="9"/>
      <c r="M24" s="9"/>
      <c r="N24" s="9"/>
      <c r="O24" s="9"/>
      <c r="P24" s="9"/>
      <c r="Q24" s="9"/>
      <c r="R24" s="9"/>
    </row>
    <row r="25" spans="1:18" x14ac:dyDescent="0.3">
      <c r="A25" s="9"/>
      <c r="B25" s="9"/>
      <c r="C25" s="9"/>
      <c r="D25" s="9"/>
      <c r="E25" s="9"/>
      <c r="F25" s="9"/>
      <c r="G25" s="9"/>
      <c r="H25" s="9"/>
      <c r="I25" s="9"/>
      <c r="J25" s="9"/>
      <c r="K25" s="9"/>
      <c r="L25" s="9"/>
      <c r="M25" s="9"/>
      <c r="N25" s="9"/>
      <c r="O25" s="9"/>
      <c r="P25" s="9"/>
      <c r="Q25" s="9"/>
      <c r="R25" s="9"/>
    </row>
    <row r="26" spans="1:18" x14ac:dyDescent="0.3">
      <c r="A26" s="9"/>
      <c r="B26" s="9"/>
      <c r="C26" s="9"/>
      <c r="D26" s="9"/>
      <c r="E26" s="9"/>
      <c r="F26" s="9"/>
      <c r="G26" s="9"/>
      <c r="H26" s="9"/>
      <c r="I26" s="9"/>
      <c r="J26" s="9"/>
      <c r="K26" s="9"/>
      <c r="L26" s="9"/>
      <c r="M26" s="9"/>
      <c r="N26" s="9"/>
      <c r="O26" s="9"/>
      <c r="P26" s="9"/>
      <c r="Q26" s="9"/>
      <c r="R26" s="9"/>
    </row>
    <row r="27" spans="1:18" x14ac:dyDescent="0.3">
      <c r="A27" s="9"/>
      <c r="B27" s="9"/>
      <c r="C27" s="9"/>
      <c r="D27" s="9"/>
      <c r="E27" s="9"/>
      <c r="F27" s="9"/>
      <c r="G27" s="9"/>
      <c r="H27" s="9"/>
      <c r="I27" s="9"/>
      <c r="J27" s="9"/>
      <c r="K27" s="9"/>
      <c r="L27" s="9"/>
      <c r="M27" s="9"/>
      <c r="N27" s="9"/>
      <c r="O27" s="9"/>
      <c r="P27" s="9"/>
      <c r="Q27" s="9"/>
      <c r="R27" s="9"/>
    </row>
    <row r="28" spans="1:18" x14ac:dyDescent="0.3">
      <c r="A28" s="9"/>
      <c r="B28" s="9"/>
      <c r="C28" s="9"/>
      <c r="D28" s="9"/>
      <c r="E28" s="9"/>
      <c r="F28" s="9"/>
      <c r="G28" s="9"/>
      <c r="H28" s="9"/>
      <c r="I28" s="9"/>
      <c r="J28" s="9"/>
      <c r="K28" s="9"/>
      <c r="L28" s="9"/>
      <c r="M28" s="9"/>
      <c r="N28" s="9"/>
      <c r="O28" s="9"/>
      <c r="P28" s="9"/>
      <c r="Q28" s="9"/>
      <c r="R28" s="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BE281-9E49-472D-9BD8-7E8209A969E2}">
  <dimension ref="A1:R27"/>
  <sheetViews>
    <sheetView workbookViewId="0">
      <selection activeCell="E24" sqref="E24"/>
    </sheetView>
  </sheetViews>
  <sheetFormatPr defaultRowHeight="14.4" x14ac:dyDescent="0.3"/>
  <sheetData>
    <row r="1" spans="1:18" x14ac:dyDescent="0.3">
      <c r="A1" s="9"/>
      <c r="B1" s="9"/>
      <c r="C1" s="9"/>
      <c r="D1" s="9"/>
      <c r="E1" s="9"/>
      <c r="F1" s="9"/>
      <c r="G1" s="9"/>
      <c r="H1" s="9"/>
      <c r="I1" s="9"/>
      <c r="J1" s="9"/>
      <c r="K1" s="9"/>
      <c r="L1" s="9"/>
      <c r="M1" s="9"/>
      <c r="N1" s="9"/>
      <c r="O1" s="9"/>
      <c r="P1" s="9"/>
      <c r="Q1" s="9"/>
      <c r="R1" s="9"/>
    </row>
    <row r="2" spans="1:18" x14ac:dyDescent="0.3">
      <c r="A2" s="9"/>
      <c r="B2" s="9"/>
      <c r="C2" s="9"/>
      <c r="D2" s="9"/>
      <c r="E2" s="9"/>
      <c r="F2" s="9"/>
      <c r="G2" s="9"/>
      <c r="H2" s="9"/>
      <c r="I2" s="9"/>
      <c r="J2" s="9"/>
      <c r="K2" s="9"/>
      <c r="L2" s="9"/>
      <c r="M2" s="9"/>
      <c r="N2" s="9"/>
      <c r="O2" s="9"/>
      <c r="P2" s="9"/>
      <c r="Q2" s="9"/>
      <c r="R2" s="9"/>
    </row>
    <row r="3" spans="1:18" x14ac:dyDescent="0.3">
      <c r="A3" s="9"/>
      <c r="B3" s="9"/>
      <c r="C3" s="9"/>
      <c r="D3" s="9"/>
      <c r="E3" s="9"/>
      <c r="F3" s="9"/>
      <c r="G3" s="9"/>
      <c r="H3" s="9"/>
      <c r="I3" s="9"/>
      <c r="J3" s="9"/>
      <c r="K3" s="9"/>
      <c r="L3" s="9"/>
      <c r="M3" s="9"/>
      <c r="N3" s="9"/>
      <c r="O3" s="9"/>
      <c r="P3" s="9"/>
      <c r="Q3" s="9"/>
      <c r="R3" s="9"/>
    </row>
    <row r="4" spans="1:18" x14ac:dyDescent="0.3">
      <c r="A4" s="9"/>
      <c r="B4" s="9"/>
      <c r="C4" s="9"/>
      <c r="D4" s="9"/>
      <c r="E4" s="9"/>
      <c r="F4" s="9"/>
      <c r="G4" s="9"/>
      <c r="H4" s="9"/>
      <c r="I4" s="9"/>
      <c r="J4" s="9"/>
      <c r="K4" s="9"/>
      <c r="L4" s="9"/>
      <c r="M4" s="9"/>
      <c r="N4" s="9"/>
      <c r="O4" s="9"/>
      <c r="P4" s="9"/>
      <c r="Q4" s="9"/>
      <c r="R4" s="9"/>
    </row>
    <row r="5" spans="1:18" x14ac:dyDescent="0.3">
      <c r="A5" s="9"/>
      <c r="B5" s="9"/>
      <c r="C5" s="9"/>
      <c r="D5" s="9"/>
      <c r="E5" s="9"/>
      <c r="F5" s="9"/>
      <c r="G5" s="9"/>
      <c r="H5" s="9"/>
      <c r="I5" s="9"/>
      <c r="J5" s="9"/>
      <c r="K5" s="9"/>
      <c r="L5" s="9"/>
      <c r="M5" s="9"/>
      <c r="N5" s="9"/>
      <c r="O5" s="9"/>
      <c r="P5" s="9"/>
      <c r="Q5" s="9"/>
      <c r="R5" s="9"/>
    </row>
    <row r="6" spans="1:18" x14ac:dyDescent="0.3">
      <c r="A6" s="9"/>
      <c r="B6" s="9"/>
      <c r="C6" s="9"/>
      <c r="D6" s="9"/>
      <c r="E6" s="9"/>
      <c r="F6" s="9"/>
      <c r="G6" s="9"/>
      <c r="H6" s="9"/>
      <c r="I6" s="9"/>
      <c r="J6" s="9"/>
      <c r="K6" s="9"/>
      <c r="L6" s="9"/>
      <c r="M6" s="9"/>
      <c r="N6" s="9"/>
      <c r="O6" s="9"/>
      <c r="P6" s="9"/>
      <c r="Q6" s="9"/>
      <c r="R6" s="9"/>
    </row>
    <row r="7" spans="1:18" x14ac:dyDescent="0.3">
      <c r="A7" s="9"/>
      <c r="B7" s="9"/>
      <c r="C7" s="9"/>
      <c r="D7" s="9"/>
      <c r="E7" s="9"/>
      <c r="F7" s="9"/>
      <c r="G7" s="9"/>
      <c r="H7" s="9"/>
      <c r="I7" s="9"/>
      <c r="J7" s="9"/>
      <c r="K7" s="9"/>
      <c r="L7" s="9"/>
      <c r="M7" s="9"/>
      <c r="N7" s="9"/>
      <c r="O7" s="9"/>
      <c r="P7" s="9"/>
      <c r="Q7" s="9"/>
      <c r="R7" s="9"/>
    </row>
    <row r="8" spans="1:18" x14ac:dyDescent="0.3">
      <c r="A8" s="9"/>
      <c r="B8" s="9"/>
      <c r="C8" s="9"/>
      <c r="D8" s="9"/>
      <c r="E8" s="9"/>
      <c r="F8" s="9"/>
      <c r="G8" s="9"/>
      <c r="H8" s="9"/>
      <c r="I8" s="9"/>
      <c r="J8" s="9"/>
      <c r="K8" s="9"/>
      <c r="L8" s="9"/>
      <c r="M8" s="9"/>
      <c r="N8" s="9"/>
      <c r="O8" s="9"/>
      <c r="P8" s="9"/>
      <c r="Q8" s="9"/>
      <c r="R8" s="9"/>
    </row>
    <row r="9" spans="1:18" x14ac:dyDescent="0.3">
      <c r="A9" s="9"/>
      <c r="B9" s="9"/>
      <c r="C9" s="9"/>
      <c r="D9" s="9"/>
      <c r="E9" s="9"/>
      <c r="F9" s="9"/>
      <c r="G9" s="9"/>
      <c r="H9" s="9"/>
      <c r="I9" s="9"/>
      <c r="J9" s="9"/>
      <c r="K9" s="9"/>
      <c r="L9" s="9"/>
      <c r="M9" s="9"/>
      <c r="N9" s="9"/>
      <c r="O9" s="9"/>
      <c r="P9" s="9"/>
      <c r="Q9" s="9"/>
      <c r="R9" s="9"/>
    </row>
    <row r="10" spans="1:18" x14ac:dyDescent="0.3">
      <c r="A10" s="9"/>
      <c r="B10" s="9"/>
      <c r="C10" s="9"/>
      <c r="D10" s="9"/>
      <c r="E10" s="9"/>
      <c r="F10" s="9"/>
      <c r="G10" s="9"/>
      <c r="H10" s="9"/>
      <c r="I10" s="9"/>
      <c r="J10" s="9"/>
      <c r="K10" s="9"/>
      <c r="L10" s="9"/>
      <c r="M10" s="9"/>
      <c r="N10" s="9"/>
      <c r="O10" s="9"/>
      <c r="P10" s="9"/>
      <c r="Q10" s="9"/>
      <c r="R10" s="9"/>
    </row>
    <row r="11" spans="1:18" x14ac:dyDescent="0.3">
      <c r="A11" s="9"/>
      <c r="B11" s="9"/>
      <c r="C11" s="9"/>
      <c r="D11" s="9"/>
      <c r="E11" s="9"/>
      <c r="F11" s="9"/>
      <c r="G11" s="9"/>
      <c r="H11" s="9"/>
      <c r="I11" s="9"/>
      <c r="J11" s="9"/>
      <c r="K11" s="9"/>
      <c r="L11" s="9"/>
      <c r="M11" s="9"/>
      <c r="N11" s="9"/>
      <c r="O11" s="9"/>
      <c r="P11" s="9"/>
      <c r="Q11" s="9"/>
      <c r="R11" s="9"/>
    </row>
    <row r="12" spans="1:18" x14ac:dyDescent="0.3">
      <c r="A12" s="9"/>
      <c r="B12" s="9"/>
      <c r="C12" s="9"/>
      <c r="D12" s="9"/>
      <c r="E12" s="9"/>
      <c r="F12" s="9"/>
      <c r="G12" s="9"/>
      <c r="H12" s="9"/>
      <c r="I12" s="9"/>
      <c r="J12" s="9"/>
      <c r="K12" s="9"/>
      <c r="L12" s="9"/>
      <c r="M12" s="9"/>
      <c r="N12" s="9"/>
      <c r="O12" s="9"/>
      <c r="P12" s="9"/>
      <c r="Q12" s="9"/>
      <c r="R12" s="9"/>
    </row>
    <row r="13" spans="1:18" x14ac:dyDescent="0.3">
      <c r="A13" s="9"/>
      <c r="B13" s="9"/>
      <c r="C13" s="9"/>
      <c r="D13" s="9"/>
      <c r="E13" s="9"/>
      <c r="F13" s="9"/>
      <c r="G13" s="9"/>
      <c r="H13" s="9"/>
      <c r="I13" s="9"/>
      <c r="J13" s="9"/>
      <c r="K13" s="9"/>
      <c r="L13" s="9"/>
      <c r="M13" s="9"/>
      <c r="N13" s="9"/>
      <c r="O13" s="9"/>
      <c r="P13" s="9"/>
      <c r="Q13" s="9"/>
      <c r="R13" s="9"/>
    </row>
    <row r="14" spans="1:18" x14ac:dyDescent="0.3">
      <c r="A14" s="9"/>
      <c r="B14" s="9"/>
      <c r="C14" s="9"/>
      <c r="D14" s="9"/>
      <c r="E14" s="9"/>
      <c r="F14" s="9"/>
      <c r="G14" s="9"/>
      <c r="H14" s="9"/>
      <c r="I14" s="9"/>
      <c r="J14" s="9"/>
      <c r="K14" s="9"/>
      <c r="L14" s="9"/>
      <c r="M14" s="9"/>
      <c r="N14" s="9"/>
      <c r="O14" s="9"/>
      <c r="P14" s="9"/>
      <c r="Q14" s="9"/>
      <c r="R14" s="9"/>
    </row>
    <row r="15" spans="1:18" x14ac:dyDescent="0.3">
      <c r="A15" s="9"/>
      <c r="B15" s="9"/>
      <c r="C15" s="9"/>
      <c r="D15" s="9"/>
      <c r="E15" s="9"/>
      <c r="F15" s="9"/>
      <c r="G15" s="9"/>
      <c r="H15" s="9"/>
      <c r="I15" s="9"/>
      <c r="J15" s="9"/>
      <c r="K15" s="9"/>
      <c r="L15" s="9"/>
      <c r="M15" s="9"/>
      <c r="N15" s="9"/>
      <c r="O15" s="9"/>
      <c r="P15" s="9"/>
      <c r="Q15" s="9"/>
      <c r="R15" s="9"/>
    </row>
    <row r="16" spans="1:18" x14ac:dyDescent="0.3">
      <c r="A16" s="9"/>
      <c r="B16" s="9"/>
      <c r="C16" s="9"/>
      <c r="D16" s="9"/>
      <c r="E16" s="9"/>
      <c r="F16" s="9"/>
      <c r="G16" s="9"/>
      <c r="H16" s="9"/>
      <c r="I16" s="9"/>
      <c r="J16" s="9"/>
      <c r="K16" s="9"/>
      <c r="L16" s="9"/>
      <c r="M16" s="9"/>
      <c r="N16" s="9"/>
      <c r="O16" s="9"/>
      <c r="P16" s="9"/>
      <c r="Q16" s="9"/>
      <c r="R16" s="9"/>
    </row>
    <row r="17" spans="1:18" x14ac:dyDescent="0.3">
      <c r="A17" s="9"/>
      <c r="B17" s="9"/>
      <c r="C17" s="9"/>
      <c r="D17" s="9"/>
      <c r="E17" s="9"/>
      <c r="F17" s="9"/>
      <c r="G17" s="9"/>
      <c r="H17" s="9"/>
      <c r="I17" s="9"/>
      <c r="J17" s="9"/>
      <c r="K17" s="9"/>
      <c r="L17" s="9"/>
      <c r="M17" s="9"/>
      <c r="N17" s="9"/>
      <c r="O17" s="9"/>
      <c r="P17" s="9"/>
      <c r="Q17" s="9"/>
      <c r="R17" s="9"/>
    </row>
    <row r="18" spans="1:18" x14ac:dyDescent="0.3">
      <c r="A18" s="9"/>
      <c r="B18" s="9"/>
      <c r="C18" s="9"/>
      <c r="D18" s="9"/>
      <c r="E18" s="9"/>
      <c r="F18" s="9"/>
      <c r="G18" s="9"/>
      <c r="H18" s="9"/>
      <c r="I18" s="9"/>
      <c r="J18" s="9"/>
      <c r="K18" s="9"/>
      <c r="L18" s="9"/>
      <c r="M18" s="9"/>
      <c r="N18" s="9"/>
      <c r="O18" s="9"/>
      <c r="P18" s="9"/>
      <c r="Q18" s="9"/>
      <c r="R18" s="9"/>
    </row>
    <row r="19" spans="1:18" x14ac:dyDescent="0.3">
      <c r="A19" s="9"/>
      <c r="B19" s="9"/>
      <c r="C19" s="9"/>
      <c r="D19" s="9"/>
      <c r="E19" s="9"/>
      <c r="F19" s="9"/>
      <c r="G19" s="9"/>
      <c r="H19" s="9"/>
      <c r="I19" s="9"/>
      <c r="J19" s="9"/>
      <c r="K19" s="9"/>
      <c r="L19" s="9"/>
      <c r="M19" s="9"/>
      <c r="N19" s="9"/>
      <c r="O19" s="9"/>
      <c r="P19" s="9"/>
      <c r="Q19" s="9"/>
      <c r="R19" s="9"/>
    </row>
    <row r="20" spans="1:18" x14ac:dyDescent="0.3">
      <c r="A20" s="9"/>
      <c r="B20" s="9"/>
      <c r="C20" s="9"/>
      <c r="D20" s="9"/>
      <c r="E20" s="9" t="s">
        <v>42</v>
      </c>
      <c r="F20" s="9"/>
      <c r="G20" s="9"/>
      <c r="H20" s="9"/>
      <c r="I20" s="9"/>
      <c r="J20" s="9"/>
      <c r="K20" s="9"/>
      <c r="L20" s="9"/>
      <c r="M20" s="9"/>
      <c r="N20" s="9"/>
      <c r="O20" s="9"/>
      <c r="P20" s="9"/>
      <c r="Q20" s="9"/>
      <c r="R20" s="9"/>
    </row>
    <row r="21" spans="1:18" x14ac:dyDescent="0.3">
      <c r="A21" s="9"/>
      <c r="B21" s="9"/>
      <c r="C21" s="9"/>
      <c r="D21" s="9"/>
      <c r="E21" s="9"/>
      <c r="F21" s="9"/>
      <c r="G21" s="9"/>
      <c r="H21" s="9"/>
      <c r="I21" s="9"/>
      <c r="J21" s="9"/>
      <c r="K21" s="9"/>
      <c r="L21" s="9"/>
      <c r="M21" s="9"/>
      <c r="N21" s="9"/>
      <c r="O21" s="9"/>
      <c r="P21" s="9"/>
      <c r="Q21" s="9"/>
      <c r="R21" s="9"/>
    </row>
    <row r="22" spans="1:18" x14ac:dyDescent="0.3">
      <c r="A22" s="9"/>
      <c r="B22" s="9"/>
      <c r="C22" s="9"/>
      <c r="D22" s="9"/>
      <c r="E22" s="9"/>
      <c r="F22" s="9"/>
      <c r="G22" s="9"/>
      <c r="H22" s="9"/>
      <c r="I22" s="9"/>
      <c r="J22" s="9"/>
      <c r="K22" s="9"/>
      <c r="L22" s="9"/>
      <c r="M22" s="9"/>
      <c r="N22" s="9"/>
      <c r="O22" s="9"/>
      <c r="P22" s="9"/>
      <c r="Q22" s="9"/>
      <c r="R22" s="9"/>
    </row>
    <row r="23" spans="1:18" x14ac:dyDescent="0.3">
      <c r="A23" s="9"/>
      <c r="B23" s="9"/>
      <c r="C23" s="9"/>
      <c r="D23" s="9"/>
      <c r="E23" s="9"/>
      <c r="F23" s="9"/>
      <c r="G23" s="9"/>
      <c r="H23" s="9"/>
      <c r="I23" s="9"/>
      <c r="J23" s="9"/>
      <c r="K23" s="9"/>
      <c r="L23" s="9"/>
      <c r="M23" s="9"/>
      <c r="N23" s="9"/>
      <c r="O23" s="9"/>
      <c r="P23" s="9"/>
      <c r="Q23" s="9"/>
      <c r="R23" s="9"/>
    </row>
    <row r="24" spans="1:18" x14ac:dyDescent="0.3">
      <c r="A24" s="9"/>
      <c r="B24" s="9"/>
      <c r="C24" s="9"/>
      <c r="D24" s="9"/>
      <c r="E24" s="9"/>
      <c r="F24" s="9"/>
      <c r="G24" s="9"/>
      <c r="H24" s="9"/>
      <c r="I24" s="9"/>
      <c r="J24" s="9"/>
      <c r="K24" s="9"/>
      <c r="L24" s="9"/>
      <c r="M24" s="9"/>
      <c r="N24" s="9"/>
      <c r="O24" s="9"/>
      <c r="P24" s="9"/>
      <c r="Q24" s="9"/>
      <c r="R24" s="9"/>
    </row>
    <row r="25" spans="1:18" x14ac:dyDescent="0.3">
      <c r="A25" s="9"/>
      <c r="B25" s="9"/>
      <c r="C25" s="9"/>
      <c r="D25" s="9"/>
      <c r="E25" s="9"/>
      <c r="F25" s="9"/>
      <c r="G25" s="9"/>
      <c r="H25" s="9"/>
      <c r="I25" s="9"/>
      <c r="J25" s="9"/>
      <c r="K25" s="9"/>
      <c r="L25" s="9"/>
      <c r="M25" s="9"/>
      <c r="N25" s="9"/>
      <c r="O25" s="9"/>
      <c r="P25" s="9"/>
      <c r="Q25" s="9"/>
      <c r="R25" s="9"/>
    </row>
    <row r="26" spans="1:18" x14ac:dyDescent="0.3">
      <c r="A26" s="9"/>
      <c r="B26" s="9"/>
      <c r="C26" s="9"/>
      <c r="D26" s="9"/>
      <c r="E26" s="9"/>
      <c r="F26" s="9"/>
      <c r="G26" s="9"/>
      <c r="H26" s="9"/>
      <c r="I26" s="9"/>
      <c r="J26" s="9"/>
      <c r="K26" s="9"/>
      <c r="L26" s="9"/>
      <c r="M26" s="9"/>
      <c r="N26" s="9"/>
      <c r="O26" s="9"/>
      <c r="P26" s="9"/>
      <c r="Q26" s="9"/>
      <c r="R26" s="9"/>
    </row>
    <row r="27" spans="1:18" x14ac:dyDescent="0.3">
      <c r="A27" s="9"/>
      <c r="B27" s="9"/>
      <c r="C27" s="9"/>
      <c r="D27" s="9"/>
      <c r="E27" s="9"/>
      <c r="F27" s="9"/>
      <c r="G27" s="9"/>
      <c r="H27" s="9"/>
      <c r="I27" s="9"/>
      <c r="J27" s="9"/>
      <c r="K27" s="9"/>
      <c r="L27" s="9"/>
      <c r="M27" s="9"/>
      <c r="N27" s="9"/>
      <c r="O27" s="9"/>
      <c r="P27" s="9"/>
      <c r="Q27" s="9"/>
      <c r="R27" s="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863A7-7CED-40CE-881A-15AFD960A8EF}">
  <dimension ref="A1:X27"/>
  <sheetViews>
    <sheetView workbookViewId="0">
      <selection activeCell="H30" sqref="H30"/>
    </sheetView>
  </sheetViews>
  <sheetFormatPr defaultRowHeight="14.4" x14ac:dyDescent="0.3"/>
  <sheetData>
    <row r="1" spans="1:24" x14ac:dyDescent="0.3">
      <c r="A1" s="9"/>
      <c r="B1" s="9"/>
      <c r="C1" s="9"/>
      <c r="D1" s="9"/>
      <c r="E1" s="9"/>
      <c r="F1" s="9"/>
      <c r="G1" s="9"/>
      <c r="H1" s="9"/>
      <c r="I1" s="9"/>
      <c r="J1" s="9"/>
      <c r="K1" s="9"/>
      <c r="L1" s="9"/>
      <c r="M1" s="9"/>
      <c r="N1" s="9"/>
      <c r="O1" s="9"/>
      <c r="P1" s="9"/>
      <c r="Q1" s="9"/>
      <c r="R1" s="9"/>
      <c r="S1" s="9"/>
      <c r="T1" s="9"/>
      <c r="U1" s="9"/>
      <c r="V1" s="9"/>
      <c r="W1" s="9"/>
      <c r="X1" s="9"/>
    </row>
    <row r="2" spans="1:24" x14ac:dyDescent="0.3">
      <c r="A2" s="9"/>
      <c r="B2" s="9"/>
      <c r="C2" s="9"/>
      <c r="D2" s="9"/>
      <c r="E2" s="9"/>
      <c r="F2" s="9"/>
      <c r="G2" s="9"/>
      <c r="H2" s="9"/>
      <c r="I2" s="9"/>
      <c r="J2" s="9"/>
      <c r="K2" s="9"/>
      <c r="L2" s="9"/>
      <c r="M2" s="9"/>
      <c r="N2" s="9"/>
      <c r="O2" s="9"/>
      <c r="P2" s="9"/>
      <c r="Q2" s="9"/>
      <c r="R2" s="9"/>
      <c r="S2" s="9"/>
      <c r="T2" s="9"/>
      <c r="U2" s="9"/>
      <c r="V2" s="9"/>
      <c r="W2" s="9"/>
      <c r="X2" s="9"/>
    </row>
    <row r="3" spans="1:24" x14ac:dyDescent="0.3">
      <c r="A3" s="9"/>
      <c r="B3" s="9"/>
      <c r="C3" s="9"/>
      <c r="D3" s="9"/>
      <c r="E3" s="9"/>
      <c r="F3" s="9"/>
      <c r="G3" s="9"/>
      <c r="H3" s="9"/>
      <c r="I3" s="9"/>
      <c r="J3" s="9"/>
      <c r="K3" s="9"/>
      <c r="L3" s="9"/>
      <c r="M3" s="9"/>
      <c r="N3" s="9"/>
      <c r="O3" s="9"/>
      <c r="P3" s="9"/>
      <c r="Q3" s="9"/>
      <c r="R3" s="9"/>
      <c r="S3" s="9"/>
      <c r="T3" s="9"/>
      <c r="U3" s="9"/>
      <c r="V3" s="9"/>
      <c r="W3" s="9"/>
      <c r="X3" s="9"/>
    </row>
    <row r="4" spans="1:24" x14ac:dyDescent="0.3">
      <c r="A4" s="9"/>
      <c r="B4" s="9"/>
      <c r="C4" s="9"/>
      <c r="D4" s="9"/>
      <c r="E4" s="9"/>
      <c r="F4" s="9"/>
      <c r="G4" s="9"/>
      <c r="H4" s="9"/>
      <c r="I4" s="9"/>
      <c r="J4" s="9"/>
      <c r="K4" s="9"/>
      <c r="L4" s="9"/>
      <c r="M4" s="9"/>
      <c r="N4" s="9"/>
      <c r="O4" s="9"/>
      <c r="P4" s="9"/>
      <c r="Q4" s="9"/>
      <c r="R4" s="9"/>
      <c r="S4" s="9"/>
      <c r="T4" s="9"/>
      <c r="U4" s="9"/>
      <c r="V4" s="9"/>
      <c r="W4" s="9"/>
      <c r="X4" s="9"/>
    </row>
    <row r="5" spans="1:24" x14ac:dyDescent="0.3">
      <c r="A5" s="9"/>
      <c r="B5" s="9"/>
      <c r="C5" s="9"/>
      <c r="D5" s="9"/>
      <c r="E5" s="9"/>
      <c r="F5" s="9"/>
      <c r="G5" s="9"/>
      <c r="H5" s="9"/>
      <c r="I5" s="9"/>
      <c r="J5" s="9"/>
      <c r="K5" s="9"/>
      <c r="L5" s="9"/>
      <c r="M5" s="9"/>
      <c r="N5" s="9"/>
      <c r="O5" s="9"/>
      <c r="P5" s="9"/>
      <c r="Q5" s="9"/>
      <c r="R5" s="9"/>
      <c r="S5" s="9"/>
      <c r="T5" s="9"/>
      <c r="U5" s="9"/>
      <c r="V5" s="9"/>
      <c r="W5" s="9"/>
      <c r="X5" s="9"/>
    </row>
    <row r="6" spans="1:24" x14ac:dyDescent="0.3">
      <c r="A6" s="9"/>
      <c r="B6" s="9"/>
      <c r="C6" s="9"/>
      <c r="D6" s="9"/>
      <c r="E6" s="9"/>
      <c r="F6" s="9"/>
      <c r="G6" s="9"/>
      <c r="H6" s="9"/>
      <c r="I6" s="9"/>
      <c r="J6" s="9"/>
      <c r="K6" s="9"/>
      <c r="L6" s="9"/>
      <c r="M6" s="9"/>
      <c r="N6" s="9"/>
      <c r="O6" s="9"/>
      <c r="P6" s="9"/>
      <c r="Q6" s="9"/>
      <c r="R6" s="9"/>
      <c r="S6" s="9"/>
      <c r="T6" s="9"/>
      <c r="U6" s="9"/>
      <c r="V6" s="9"/>
      <c r="W6" s="9"/>
      <c r="X6" s="9"/>
    </row>
    <row r="7" spans="1:24" x14ac:dyDescent="0.3">
      <c r="A7" s="9"/>
      <c r="B7" s="9"/>
      <c r="C7" s="9"/>
      <c r="D7" s="9"/>
      <c r="E7" s="9"/>
      <c r="F7" s="9"/>
      <c r="G7" s="9"/>
      <c r="H7" s="9"/>
      <c r="I7" s="9"/>
      <c r="J7" s="9"/>
      <c r="K7" s="9"/>
      <c r="L7" s="9"/>
      <c r="M7" s="9"/>
      <c r="N7" s="9"/>
      <c r="O7" s="9"/>
      <c r="P7" s="9"/>
      <c r="Q7" s="9"/>
      <c r="R7" s="9"/>
      <c r="S7" s="9"/>
      <c r="T7" s="9"/>
      <c r="U7" s="9"/>
      <c r="V7" s="9"/>
      <c r="W7" s="9"/>
      <c r="X7" s="9"/>
    </row>
    <row r="8" spans="1:24" x14ac:dyDescent="0.3">
      <c r="A8" s="9"/>
      <c r="B8" s="9"/>
      <c r="C8" s="9"/>
      <c r="D8" s="9"/>
      <c r="E8" s="9"/>
      <c r="F8" s="9"/>
      <c r="G8" s="9"/>
      <c r="H8" s="9"/>
      <c r="I8" s="9"/>
      <c r="J8" s="9"/>
      <c r="K8" s="9"/>
      <c r="L8" s="9"/>
      <c r="M8" s="9"/>
      <c r="N8" s="9"/>
      <c r="O8" s="9"/>
      <c r="P8" s="9"/>
      <c r="Q8" s="9"/>
      <c r="R8" s="9"/>
      <c r="S8" s="9"/>
      <c r="T8" s="9"/>
      <c r="U8" s="9"/>
      <c r="V8" s="9"/>
      <c r="W8" s="9"/>
      <c r="X8" s="9"/>
    </row>
    <row r="9" spans="1:24" x14ac:dyDescent="0.3">
      <c r="A9" s="9"/>
      <c r="B9" s="9"/>
      <c r="C9" s="9"/>
      <c r="D9" s="9"/>
      <c r="E9" s="9"/>
      <c r="F9" s="9"/>
      <c r="G9" s="9"/>
      <c r="H9" s="9"/>
      <c r="I9" s="9"/>
      <c r="J9" s="9"/>
      <c r="K9" s="9"/>
      <c r="L9" s="9"/>
      <c r="M9" s="9"/>
      <c r="N9" s="9"/>
      <c r="O9" s="9"/>
      <c r="P9" s="9"/>
      <c r="Q9" s="9"/>
      <c r="R9" s="9"/>
      <c r="S9" s="9"/>
      <c r="T9" s="9"/>
      <c r="U9" s="9"/>
      <c r="V9" s="9"/>
      <c r="W9" s="9"/>
      <c r="X9" s="9"/>
    </row>
    <row r="10" spans="1:24" x14ac:dyDescent="0.3">
      <c r="A10" s="9"/>
      <c r="B10" s="9"/>
      <c r="C10" s="9"/>
      <c r="D10" s="9"/>
      <c r="E10" s="9"/>
      <c r="F10" s="9"/>
      <c r="G10" s="9"/>
      <c r="H10" s="9"/>
      <c r="I10" s="9"/>
      <c r="J10" s="9"/>
      <c r="K10" s="9"/>
      <c r="L10" s="9"/>
      <c r="M10" s="9"/>
      <c r="N10" s="9"/>
      <c r="O10" s="9"/>
      <c r="P10" s="9"/>
      <c r="Q10" s="9"/>
      <c r="R10" s="9"/>
      <c r="S10" s="9"/>
      <c r="T10" s="9"/>
      <c r="U10" s="9"/>
      <c r="V10" s="9"/>
      <c r="W10" s="9"/>
      <c r="X10" s="9"/>
    </row>
    <row r="11" spans="1:24" x14ac:dyDescent="0.3">
      <c r="A11" s="9"/>
      <c r="B11" s="9"/>
      <c r="C11" s="9"/>
      <c r="D11" s="9"/>
      <c r="E11" s="9"/>
      <c r="F11" s="9"/>
      <c r="G11" s="9"/>
      <c r="H11" s="9"/>
      <c r="I11" s="9"/>
      <c r="J11" s="9"/>
      <c r="K11" s="9"/>
      <c r="L11" s="9"/>
      <c r="M11" s="9"/>
      <c r="N11" s="9"/>
      <c r="O11" s="9"/>
      <c r="P11" s="9"/>
      <c r="Q11" s="9"/>
      <c r="R11" s="9"/>
      <c r="S11" s="9"/>
      <c r="T11" s="9"/>
      <c r="U11" s="9"/>
      <c r="V11" s="9"/>
      <c r="W11" s="9"/>
      <c r="X11" s="9"/>
    </row>
    <row r="12" spans="1:24" x14ac:dyDescent="0.3">
      <c r="A12" s="9"/>
      <c r="B12" s="9"/>
      <c r="C12" s="9"/>
      <c r="D12" s="9"/>
      <c r="E12" s="9"/>
      <c r="F12" s="9"/>
      <c r="G12" s="9"/>
      <c r="H12" s="9"/>
      <c r="I12" s="9"/>
      <c r="J12" s="9"/>
      <c r="K12" s="9"/>
      <c r="L12" s="9"/>
      <c r="M12" s="9"/>
      <c r="N12" s="9"/>
      <c r="O12" s="9"/>
      <c r="P12" s="9"/>
      <c r="Q12" s="9"/>
      <c r="R12" s="9"/>
      <c r="S12" s="9"/>
      <c r="T12" s="9"/>
      <c r="U12" s="9"/>
      <c r="V12" s="9"/>
      <c r="W12" s="9"/>
      <c r="X12" s="9"/>
    </row>
    <row r="13" spans="1:24" x14ac:dyDescent="0.3">
      <c r="A13" s="9"/>
      <c r="B13" s="9"/>
      <c r="C13" s="9"/>
      <c r="D13" s="9"/>
      <c r="E13" s="9"/>
      <c r="F13" s="9"/>
      <c r="G13" s="9"/>
      <c r="H13" s="9"/>
      <c r="I13" s="9"/>
      <c r="J13" s="9"/>
      <c r="K13" s="9"/>
      <c r="L13" s="9"/>
      <c r="M13" s="9"/>
      <c r="N13" s="9"/>
      <c r="O13" s="9"/>
      <c r="P13" s="9"/>
      <c r="Q13" s="9"/>
      <c r="R13" s="9"/>
      <c r="S13" s="9"/>
      <c r="T13" s="9"/>
      <c r="U13" s="9"/>
      <c r="V13" s="9"/>
      <c r="W13" s="9"/>
      <c r="X13" s="9"/>
    </row>
    <row r="14" spans="1:24" x14ac:dyDescent="0.3">
      <c r="A14" s="9"/>
      <c r="B14" s="9"/>
      <c r="C14" s="9"/>
      <c r="D14" s="9"/>
      <c r="E14" s="9"/>
      <c r="F14" s="9"/>
      <c r="G14" s="9"/>
      <c r="H14" s="9"/>
      <c r="I14" s="9"/>
      <c r="J14" s="9"/>
      <c r="K14" s="9"/>
      <c r="L14" s="9"/>
      <c r="M14" s="9"/>
      <c r="N14" s="9"/>
      <c r="O14" s="9"/>
      <c r="P14" s="9"/>
      <c r="Q14" s="9"/>
      <c r="R14" s="9"/>
      <c r="S14" s="9"/>
      <c r="T14" s="9"/>
      <c r="U14" s="9"/>
      <c r="V14" s="9"/>
      <c r="W14" s="9"/>
      <c r="X14" s="9"/>
    </row>
    <row r="15" spans="1:24" x14ac:dyDescent="0.3">
      <c r="A15" s="9"/>
      <c r="B15" s="9"/>
      <c r="C15" s="9"/>
      <c r="D15" s="9"/>
      <c r="E15" s="9"/>
      <c r="F15" s="9"/>
      <c r="G15" s="9"/>
      <c r="H15" s="9"/>
      <c r="I15" s="9"/>
      <c r="J15" s="9"/>
      <c r="K15" s="9"/>
      <c r="L15" s="9"/>
      <c r="M15" s="9"/>
      <c r="N15" s="9"/>
      <c r="O15" s="9"/>
      <c r="P15" s="9"/>
      <c r="Q15" s="9"/>
      <c r="R15" s="9"/>
      <c r="S15" s="9"/>
      <c r="T15" s="9"/>
      <c r="U15" s="9"/>
      <c r="V15" s="9"/>
      <c r="W15" s="9"/>
      <c r="X15" s="9"/>
    </row>
    <row r="16" spans="1:24" x14ac:dyDescent="0.3">
      <c r="A16" s="9"/>
      <c r="B16" s="9"/>
      <c r="C16" s="9"/>
      <c r="D16" s="9"/>
      <c r="E16" s="9"/>
      <c r="F16" s="9"/>
      <c r="G16" s="9"/>
      <c r="H16" s="9"/>
      <c r="I16" s="9"/>
      <c r="J16" s="9"/>
      <c r="K16" s="9"/>
      <c r="L16" s="9"/>
      <c r="M16" s="9"/>
      <c r="N16" s="9"/>
      <c r="O16" s="9"/>
      <c r="P16" s="9"/>
      <c r="Q16" s="9"/>
      <c r="R16" s="9"/>
      <c r="S16" s="9"/>
      <c r="T16" s="9"/>
      <c r="U16" s="9"/>
      <c r="V16" s="9"/>
      <c r="W16" s="9"/>
      <c r="X16" s="9"/>
    </row>
    <row r="17" spans="1:24" x14ac:dyDescent="0.3">
      <c r="A17" s="9"/>
      <c r="B17" s="9"/>
      <c r="C17" s="9"/>
      <c r="D17" s="9"/>
      <c r="E17" s="9"/>
      <c r="F17" s="9"/>
      <c r="G17" s="9"/>
      <c r="H17" s="9"/>
      <c r="I17" s="9"/>
      <c r="J17" s="9"/>
      <c r="K17" s="9"/>
      <c r="L17" s="9"/>
      <c r="M17" s="9"/>
      <c r="N17" s="9"/>
      <c r="O17" s="9"/>
      <c r="P17" s="9"/>
      <c r="Q17" s="9"/>
      <c r="R17" s="9"/>
      <c r="S17" s="9"/>
      <c r="T17" s="9"/>
      <c r="U17" s="9"/>
      <c r="V17" s="9"/>
      <c r="W17" s="9"/>
      <c r="X17" s="9"/>
    </row>
    <row r="18" spans="1:24" x14ac:dyDescent="0.3">
      <c r="A18" s="9"/>
      <c r="B18" s="9"/>
      <c r="C18" s="9"/>
      <c r="D18" s="9"/>
      <c r="E18" s="9"/>
      <c r="F18" s="10" t="s">
        <v>39</v>
      </c>
      <c r="G18" s="9"/>
      <c r="H18" s="9"/>
      <c r="I18" s="9"/>
      <c r="J18" s="9"/>
      <c r="K18" s="9"/>
      <c r="L18" s="9"/>
      <c r="M18" s="9"/>
      <c r="N18" s="9"/>
      <c r="O18" s="9"/>
      <c r="P18" s="9"/>
      <c r="Q18" s="9"/>
      <c r="R18" s="9"/>
      <c r="S18" s="9"/>
      <c r="T18" s="9"/>
      <c r="U18" s="9"/>
      <c r="V18" s="9"/>
      <c r="W18" s="9"/>
      <c r="X18" s="9"/>
    </row>
    <row r="19" spans="1:24" x14ac:dyDescent="0.3">
      <c r="A19" s="9"/>
      <c r="B19" s="9"/>
      <c r="C19" s="9"/>
      <c r="D19" s="9"/>
      <c r="E19" s="9"/>
      <c r="F19" s="9"/>
      <c r="G19" s="9"/>
      <c r="H19" s="9"/>
      <c r="I19" s="9"/>
      <c r="J19" s="9"/>
      <c r="K19" s="9"/>
      <c r="L19" s="9"/>
      <c r="M19" s="9"/>
      <c r="N19" s="9"/>
      <c r="O19" s="9"/>
      <c r="P19" s="9"/>
      <c r="Q19" s="9"/>
      <c r="R19" s="9"/>
      <c r="S19" s="9"/>
      <c r="T19" s="9"/>
      <c r="U19" s="9"/>
      <c r="V19" s="9"/>
      <c r="W19" s="9"/>
      <c r="X19" s="9"/>
    </row>
    <row r="20" spans="1:24" x14ac:dyDescent="0.3">
      <c r="A20" s="9"/>
      <c r="B20" s="9"/>
      <c r="C20" s="9"/>
      <c r="D20" s="9"/>
      <c r="E20" s="9"/>
      <c r="F20" s="9"/>
      <c r="G20" s="9"/>
      <c r="H20" s="9"/>
      <c r="I20" s="9"/>
      <c r="J20" s="9"/>
      <c r="K20" s="9"/>
      <c r="L20" s="9"/>
      <c r="M20" s="9"/>
      <c r="N20" s="9"/>
      <c r="O20" s="9"/>
      <c r="P20" s="9"/>
      <c r="Q20" s="9"/>
      <c r="R20" s="9"/>
      <c r="S20" s="9"/>
      <c r="T20" s="9"/>
      <c r="U20" s="9"/>
      <c r="V20" s="9"/>
      <c r="W20" s="9"/>
      <c r="X20" s="9"/>
    </row>
    <row r="21" spans="1:24" x14ac:dyDescent="0.3">
      <c r="A21" s="9"/>
      <c r="B21" s="9"/>
      <c r="C21" s="9"/>
      <c r="D21" s="9"/>
      <c r="E21" s="9"/>
      <c r="F21" s="9"/>
      <c r="G21" s="9"/>
      <c r="H21" s="9"/>
      <c r="I21" s="9"/>
      <c r="J21" s="9"/>
      <c r="K21" s="9"/>
      <c r="L21" s="9"/>
      <c r="M21" s="9"/>
      <c r="N21" s="9"/>
      <c r="O21" s="9"/>
      <c r="P21" s="9"/>
      <c r="Q21" s="9"/>
      <c r="R21" s="9"/>
      <c r="S21" s="9"/>
      <c r="T21" s="9"/>
      <c r="U21" s="9"/>
      <c r="V21" s="9"/>
      <c r="W21" s="9"/>
      <c r="X21" s="9"/>
    </row>
    <row r="22" spans="1:24" x14ac:dyDescent="0.3">
      <c r="A22" s="9"/>
      <c r="B22" s="9"/>
      <c r="C22" s="9"/>
      <c r="D22" s="9"/>
      <c r="E22" s="9"/>
      <c r="F22" s="9"/>
      <c r="G22" s="9"/>
      <c r="H22" s="9"/>
      <c r="I22" s="9"/>
      <c r="J22" s="9"/>
      <c r="K22" s="9"/>
      <c r="L22" s="9"/>
      <c r="M22" s="9"/>
      <c r="N22" s="9"/>
      <c r="O22" s="9"/>
      <c r="P22" s="9"/>
      <c r="Q22" s="9"/>
      <c r="R22" s="9"/>
      <c r="S22" s="9"/>
      <c r="T22" s="9"/>
      <c r="U22" s="9"/>
      <c r="V22" s="9"/>
      <c r="W22" s="9"/>
      <c r="X22" s="9"/>
    </row>
    <row r="23" spans="1:24" x14ac:dyDescent="0.3">
      <c r="A23" s="9"/>
      <c r="B23" s="9"/>
      <c r="C23" s="9"/>
      <c r="D23" s="9"/>
      <c r="E23" s="9"/>
      <c r="F23" s="9"/>
      <c r="G23" s="9"/>
      <c r="H23" s="9"/>
      <c r="I23" s="9"/>
      <c r="J23" s="9"/>
      <c r="K23" s="9"/>
      <c r="L23" s="9"/>
      <c r="M23" s="9"/>
      <c r="N23" s="9"/>
      <c r="O23" s="9"/>
      <c r="P23" s="9"/>
      <c r="Q23" s="9"/>
      <c r="R23" s="9"/>
      <c r="S23" s="9"/>
      <c r="T23" s="9"/>
      <c r="U23" s="9"/>
      <c r="V23" s="9"/>
      <c r="W23" s="9"/>
      <c r="X23" s="9"/>
    </row>
    <row r="24" spans="1:24" x14ac:dyDescent="0.3">
      <c r="A24" s="9"/>
      <c r="B24" s="9"/>
      <c r="C24" s="9"/>
      <c r="D24" s="9"/>
      <c r="E24" s="9"/>
      <c r="F24" s="9"/>
      <c r="G24" s="9"/>
      <c r="H24" s="9"/>
      <c r="I24" s="9"/>
      <c r="J24" s="9"/>
      <c r="K24" s="9"/>
      <c r="L24" s="9"/>
      <c r="M24" s="9"/>
      <c r="N24" s="9"/>
      <c r="O24" s="9"/>
      <c r="P24" s="9"/>
      <c r="Q24" s="9"/>
      <c r="R24" s="9"/>
      <c r="S24" s="9"/>
      <c r="T24" s="9"/>
      <c r="U24" s="9"/>
      <c r="V24" s="9"/>
      <c r="W24" s="9"/>
      <c r="X24" s="9"/>
    </row>
    <row r="25" spans="1:24" x14ac:dyDescent="0.3">
      <c r="A25" s="9"/>
      <c r="B25" s="9"/>
      <c r="C25" s="9"/>
      <c r="D25" s="9"/>
      <c r="E25" s="9"/>
      <c r="F25" s="9"/>
      <c r="G25" s="9"/>
      <c r="H25" s="9"/>
      <c r="I25" s="9"/>
      <c r="J25" s="9"/>
      <c r="K25" s="9"/>
      <c r="L25" s="9"/>
      <c r="M25" s="9"/>
      <c r="N25" s="9"/>
      <c r="O25" s="9"/>
      <c r="P25" s="9"/>
      <c r="Q25" s="9"/>
      <c r="R25" s="9"/>
      <c r="S25" s="9"/>
      <c r="T25" s="9"/>
      <c r="U25" s="9"/>
      <c r="V25" s="9"/>
      <c r="W25" s="9"/>
      <c r="X25" s="9"/>
    </row>
    <row r="26" spans="1:24" x14ac:dyDescent="0.3">
      <c r="A26" s="9"/>
      <c r="B26" s="9"/>
      <c r="C26" s="9"/>
      <c r="D26" s="9"/>
      <c r="E26" s="9"/>
      <c r="F26" s="9"/>
      <c r="G26" s="9"/>
      <c r="H26" s="9"/>
      <c r="I26" s="9"/>
      <c r="J26" s="9"/>
      <c r="K26" s="9"/>
      <c r="L26" s="9"/>
      <c r="M26" s="9"/>
      <c r="N26" s="9"/>
      <c r="O26" s="9"/>
      <c r="P26" s="9"/>
      <c r="Q26" s="9"/>
      <c r="R26" s="9"/>
      <c r="S26" s="9"/>
      <c r="T26" s="9"/>
      <c r="U26" s="9"/>
      <c r="V26" s="9"/>
      <c r="W26" s="9"/>
      <c r="X26" s="9"/>
    </row>
    <row r="27" spans="1:24" x14ac:dyDescent="0.3">
      <c r="A27" s="9"/>
      <c r="B27" s="9"/>
      <c r="C27" s="9"/>
      <c r="D27" s="9"/>
      <c r="E27" s="9"/>
      <c r="F27" s="9"/>
      <c r="G27" s="9"/>
      <c r="H27" s="9"/>
      <c r="I27" s="9"/>
      <c r="J27" s="9"/>
      <c r="K27" s="9"/>
      <c r="L27" s="9"/>
      <c r="M27" s="9"/>
      <c r="N27" s="9"/>
      <c r="O27" s="9"/>
      <c r="P27" s="9"/>
      <c r="Q27" s="9"/>
      <c r="R27" s="9"/>
      <c r="S27" s="9"/>
      <c r="T27" s="9"/>
      <c r="U27" s="9"/>
      <c r="V27" s="9"/>
      <c r="W27" s="9"/>
      <c r="X27" s="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08D4C4A-3B8C-4AD3-8625-7C18BAED6B32}">
  <ds:schemaRefs/>
</ds:datastoreItem>
</file>

<file path=customXml/itemProps2.xml><?xml version="1.0" encoding="utf-8"?>
<ds:datastoreItem xmlns:ds="http://schemas.openxmlformats.org/officeDocument/2006/customXml" ds:itemID="{888DACD4-9BCF-4C07-8B62-DB687F530E2A}">
  <ds:schemaRefs/>
</ds:datastoreItem>
</file>

<file path=customXml/itemProps3.xml><?xml version="1.0" encoding="utf-8"?>
<ds:datastoreItem xmlns:ds="http://schemas.openxmlformats.org/officeDocument/2006/customXml" ds:itemID="{0C23B504-D7F3-4223-90E4-C4759A27F8AE}">
  <ds:schemaRefs/>
</ds:datastoreItem>
</file>

<file path=customXml/itemProps4.xml><?xml version="1.0" encoding="utf-8"?>
<ds:datastoreItem xmlns:ds="http://schemas.openxmlformats.org/officeDocument/2006/customXml" ds:itemID="{6AD95F3C-463D-4CED-A84E-F4C9DB2DA8D5}">
  <ds:schemaRefs/>
</ds:datastoreItem>
</file>

<file path=customXml/itemProps5.xml><?xml version="1.0" encoding="utf-8"?>
<ds:datastoreItem xmlns:ds="http://schemas.openxmlformats.org/officeDocument/2006/customXml" ds:itemID="{450E7725-A875-4E6C-8E6E-A740A5158BC0}">
  <ds:schemaRefs/>
</ds:datastoreItem>
</file>

<file path=customXml/itemProps6.xml><?xml version="1.0" encoding="utf-8"?>
<ds:datastoreItem xmlns:ds="http://schemas.openxmlformats.org/officeDocument/2006/customXml" ds:itemID="{115ECFE8-197B-47DA-BBE1-0AC670A957CB}">
  <ds:schemaRefs/>
</ds:datastoreItem>
</file>

<file path=customXml/itemProps7.xml><?xml version="1.0" encoding="utf-8"?>
<ds:datastoreItem xmlns:ds="http://schemas.openxmlformats.org/officeDocument/2006/customXml" ds:itemID="{781A4886-7E71-4291-8C5B-78E464393C79}">
  <ds:schemaRefs/>
</ds:datastoreItem>
</file>

<file path=customXml/itemProps8.xml><?xml version="1.0" encoding="utf-8"?>
<ds:datastoreItem xmlns:ds="http://schemas.openxmlformats.org/officeDocument/2006/customXml" ds:itemID="{31ABCF6A-0D63-439A-B1E5-02CAFD0D4972}">
  <ds:schemaRefs>
    <ds:schemaRef ds:uri="http://schemas.microsoft.com/DataMashup"/>
  </ds:schemaRefs>
</ds:datastoreItem>
</file>

<file path=customXml/itemProps9.xml><?xml version="1.0" encoding="utf-8"?>
<ds:datastoreItem xmlns:ds="http://schemas.openxmlformats.org/officeDocument/2006/customXml" ds:itemID="{D3788236-12D0-4F52-AFB1-B137D31869B5}">
  <ds:schemaRefs/>
</ds:datastoreItem>
</file>

<file path=customXml/itemProps10.xml><?xml version="1.0" encoding="utf-8"?>
<ds:datastoreItem xmlns:ds="http://schemas.openxmlformats.org/officeDocument/2006/customXml" ds:itemID="{95B09F2F-5468-4B2E-ADFD-F84991CC9035}">
  <ds:schemaRefs/>
</ds:datastoreItem>
</file>

<file path=customXml/itemProps11.xml><?xml version="1.0" encoding="utf-8"?>
<ds:datastoreItem xmlns:ds="http://schemas.openxmlformats.org/officeDocument/2006/customXml" ds:itemID="{227BB310-42F5-4D5F-A35B-99BDBF5215D9}">
  <ds:schemaRefs/>
</ds:datastoreItem>
</file>

<file path=customXml/itemProps12.xml><?xml version="1.0" encoding="utf-8"?>
<ds:datastoreItem xmlns:ds="http://schemas.openxmlformats.org/officeDocument/2006/customXml" ds:itemID="{4E6C04BF-2219-48F2-B916-8BB0606A8EA7}">
  <ds:schemaRefs/>
</ds:datastoreItem>
</file>

<file path=customXml/itemProps13.xml><?xml version="1.0" encoding="utf-8"?>
<ds:datastoreItem xmlns:ds="http://schemas.openxmlformats.org/officeDocument/2006/customXml" ds:itemID="{16D69FC2-C345-4490-8DC0-636690D34A0D}">
  <ds:schemaRefs/>
</ds:datastoreItem>
</file>

<file path=customXml/itemProps14.xml><?xml version="1.0" encoding="utf-8"?>
<ds:datastoreItem xmlns:ds="http://schemas.openxmlformats.org/officeDocument/2006/customXml" ds:itemID="{54DFF6B7-AB03-4372-9324-8C9CF37DCD00}">
  <ds:schemaRefs/>
</ds:datastoreItem>
</file>

<file path=customXml/itemProps15.xml><?xml version="1.0" encoding="utf-8"?>
<ds:datastoreItem xmlns:ds="http://schemas.openxmlformats.org/officeDocument/2006/customXml" ds:itemID="{33C66735-E7E2-44BE-911D-755194EC7B55}">
  <ds:schemaRefs/>
</ds:datastoreItem>
</file>

<file path=customXml/itemProps16.xml><?xml version="1.0" encoding="utf-8"?>
<ds:datastoreItem xmlns:ds="http://schemas.openxmlformats.org/officeDocument/2006/customXml" ds:itemID="{64F3031C-F565-4CC9-A418-0005E960722E}">
  <ds:schemaRefs/>
</ds:datastoreItem>
</file>

<file path=customXml/itemProps17.xml><?xml version="1.0" encoding="utf-8"?>
<ds:datastoreItem xmlns:ds="http://schemas.openxmlformats.org/officeDocument/2006/customXml" ds:itemID="{9F61FABA-4983-4F4E-A9AB-0CC1F816CAB7}">
  <ds:schemaRefs/>
</ds:datastoreItem>
</file>

<file path=customXml/itemProps18.xml><?xml version="1.0" encoding="utf-8"?>
<ds:datastoreItem xmlns:ds="http://schemas.openxmlformats.org/officeDocument/2006/customXml" ds:itemID="{7789CB34-F047-4BD1-8D7C-26288466623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Satisfaction Score Daily Trends</vt:lpstr>
      <vt:lpstr>Average Wait Time Daily Trends</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Shukla</dc:creator>
  <cp:lastModifiedBy>Rajan Shukla</cp:lastModifiedBy>
  <dcterms:created xsi:type="dcterms:W3CDTF">2026-06-22T03:11:27Z</dcterms:created>
  <dcterms:modified xsi:type="dcterms:W3CDTF">2026-06-22T13:34:54Z</dcterms:modified>
</cp:coreProperties>
</file>